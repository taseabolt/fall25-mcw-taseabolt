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rra/Downloads/"/>
    </mc:Choice>
  </mc:AlternateContent>
  <xr:revisionPtr revIDLastSave="0" documentId="8_{62173FEB-0C0B-3A42-BCE2-AAF95961B9CF}" xr6:coauthVersionLast="47" xr6:coauthVersionMax="47" xr10:uidLastSave="{00000000-0000-0000-0000-000000000000}"/>
  <bookViews>
    <workbookView xWindow="13380" yWindow="880" windowWidth="19340" windowHeight="21040" activeTab="2" xr2:uid="{4C10814A-E322-794C-8C9F-2BEFA35E0D93}"/>
  </bookViews>
  <sheets>
    <sheet name="Data" sheetId="1" r:id="rId1"/>
    <sheet name="Sheet1" sheetId="3" r:id="rId2"/>
    <sheet name="Sheet2" sheetId="6" r:id="rId3"/>
    <sheet name="Notes" sheetId="2" r:id="rId4"/>
  </sheets>
  <definedNames>
    <definedName name="INTERNET">Data!$A$73:$A$73</definedName>
    <definedName name="_xlnm.Print_Area" localSheetId="0">Data!$A$1:$AB$60</definedName>
    <definedName name="SOURCE">Data!$A$66:$A$71</definedName>
    <definedName name="TITLE">Data!$A$1:$A$1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</calcChain>
</file>

<file path=xl/sharedStrings.xml><?xml version="1.0" encoding="utf-8"?>
<sst xmlns="http://schemas.openxmlformats.org/spreadsheetml/2006/main" count="195" uniqueCount="87">
  <si>
    <t>on extended or continuous active duty. Excludes Coast Guard.</t>
  </si>
  <si>
    <t xml:space="preserve"> Army</t>
  </si>
  <si>
    <t xml:space="preserve"> Air Force</t>
  </si>
  <si>
    <t>Year</t>
  </si>
  <si>
    <t>Officers</t>
  </si>
  <si>
    <t>Enlisted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</si>
  <si>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</si>
  <si>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</si>
  <si>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</si>
  <si>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</si>
  <si>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</si>
  <si>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</si>
  <si>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</si>
  <si>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</si>
  <si>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</si>
  <si>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</si>
  <si>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</si>
  <si>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</si>
  <si>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</si>
  <si>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</si>
  <si>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</si>
  <si>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</si>
  <si>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</si>
  <si>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</si>
  <si>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</si>
  <si>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</si>
  <si>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</si>
  <si>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</si>
  <si>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</si>
  <si>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</si>
  <si>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</si>
  <si>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</si>
  <si>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</si>
  <si>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</si>
  <si>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</si>
  <si>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</si>
  <si>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</si>
  <si>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</si>
  <si>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</si>
  <si>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</si>
  <si>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</si>
  <si>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</si>
  <si>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</si>
  <si>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</si>
  <si>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</si>
  <si>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</si>
  <si>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</si>
  <si>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</si>
  <si>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</si>
  <si>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Add Check</t>
  </si>
  <si>
    <t>Total</t>
  </si>
  <si>
    <t>Total \1</t>
  </si>
  <si>
    <t>Male</t>
  </si>
  <si>
    <t>Female</t>
  </si>
  <si>
    <t>&lt;med&gt;annual. See also</t>
  </si>
  <si>
    <t xml:space="preserve">\2 Beginning 1980, excludes Navy Reserve personnel on active duty </t>
  </si>
  <si>
    <t>\1 Includes cadets, midshipmen and other not shown separately.</t>
  </si>
  <si>
    <t>[tbf]Source: U.S. Department of Defense, &lt;mdit&gt;Selected Manpower Statistics,</t>
  </si>
  <si>
    <t xml:space="preserve">for Training and Administration of Reserves (TARS). </t>
  </si>
  <si>
    <t>Navy \2</t>
  </si>
  <si>
    <t>Marine Corps</t>
  </si>
  <si>
    <t>Selected Manpower Statistics, annual. See also</t>
  </si>
  <si>
    <t>ADD CHECK</t>
  </si>
  <si>
    <t>TOTAL</t>
  </si>
  <si>
    <t>ARMY</t>
  </si>
  <si>
    <t>NAVY</t>
  </si>
  <si>
    <t>MARINES</t>
  </si>
  <si>
    <t xml:space="preserve">ADD CHECK </t>
  </si>
  <si>
    <t>AIR FORCE</t>
  </si>
  <si>
    <r>
      <t>[In thousands (2,475 represents 2,475,000).</t>
    </r>
    <r>
      <rPr>
        <sz val="12"/>
        <rFont val="Courier New"/>
        <family val="3"/>
      </rPr>
      <t xml:space="preserve">  As of end of fiscal year; </t>
    </r>
  </si>
  <si>
    <t xml:space="preserve">see text, Section 8. </t>
  </si>
  <si>
    <t>Other officer candidates are included under enlisted personnel.</t>
  </si>
  <si>
    <t>Totals do not necessarily add due to rounding]</t>
  </si>
  <si>
    <t>Total\1 \2</t>
  </si>
  <si>
    <t>[Includes National Guard, Reserve, and retired regular personnel</t>
  </si>
  <si>
    <t>FOOTNOTES</t>
  </si>
  <si>
    <t>Source: U.S. Dept. of Defense, Selected Manpower Statistics,</t>
  </si>
  <si>
    <t>Back to data.</t>
  </si>
  <si>
    <t>HEADNOTE</t>
  </si>
  <si>
    <t>See notes.</t>
  </si>
  <si>
    <t>\&lt;http://siadapp.dmdc.osd.mil/personnel/\&gt;</t>
  </si>
  <si>
    <t>INTERNET LINK</t>
  </si>
  <si>
    <t>http://siadapp.dmdc.osd.mil</t>
  </si>
  <si>
    <r>
      <t>Table 498.</t>
    </r>
    <r>
      <rPr>
        <b/>
        <sz val="12"/>
        <rFont val="Courier New"/>
        <family val="3"/>
      </rPr>
      <t xml:space="preserve"> Department of Defense Personnel: 1960 to 2008</t>
    </r>
  </si>
  <si>
    <r>
      <t>Table 498.</t>
    </r>
    <r>
      <rPr>
        <b/>
        <sz val="12"/>
        <rFont val="Courier New"/>
        <family val="3"/>
      </rPr>
      <t xml:space="preserve"> Department of Defense Personnel</t>
    </r>
  </si>
  <si>
    <t xml:space="preserve">Selected Manpower Statistics, annual; and unpublished data. </t>
  </si>
  <si>
    <t>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</si>
</sst>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"/>
    <numFmt numFmtId="173" formatCode="0.0"/>
  </numFmts>
  <fonts count="8" x14ac:knownFonts="1">
    <font>
      <sz val="12"/>
      <name val="Courier New"/>
    </font>
    <font>
      <b/>
      <sz val="12"/>
      <name val="Courier New"/>
      <family val="3"/>
    </font>
    <font>
      <u/>
      <sz val="12"/>
      <color indexed="12"/>
      <name val="Courier New"/>
      <family val="1"/>
    </font>
    <font>
      <u/>
      <sz val="12"/>
      <color indexed="12"/>
      <name val="Courier New"/>
      <family val="3"/>
    </font>
    <font>
      <sz val="12"/>
      <name val="Courier New"/>
      <family val="3"/>
    </font>
    <font>
      <sz val="12"/>
      <color indexed="8"/>
      <name val="Courier New"/>
      <family val="3"/>
    </font>
    <font>
      <sz val="12"/>
      <name val="Courier New"/>
      <family val="1"/>
    </font>
    <font>
      <sz val="12"/>
      <name val="Courier New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 applyAlignment="1"/>
    <xf numFmtId="0" fontId="1" fillId="0" borderId="0" xfId="1" applyFont="1"/>
    <xf numFmtId="0" fontId="3" fillId="0" borderId="0" xfId="2" applyFont="1" applyAlignment="1" applyProtection="1">
      <alignment horizontal="left"/>
    </xf>
    <xf numFmtId="0" fontId="4" fillId="0" borderId="0" xfId="1" applyFont="1"/>
    <xf numFmtId="0" fontId="4" fillId="0" borderId="0" xfId="1" applyFont="1" applyAlignment="1">
      <alignment horizontal="fill"/>
    </xf>
    <xf numFmtId="0" fontId="4" fillId="0" borderId="1" xfId="1" applyFont="1" applyBorder="1" applyAlignment="1">
      <alignment horizontal="fill"/>
    </xf>
    <xf numFmtId="1" fontId="4" fillId="0" borderId="0" xfId="1" applyNumberFormat="1" applyFont="1" applyAlignment="1">
      <alignment horizontal="left"/>
    </xf>
    <xf numFmtId="3" fontId="4" fillId="0" borderId="2" xfId="1" applyNumberFormat="1" applyFont="1" applyBorder="1"/>
    <xf numFmtId="3" fontId="4" fillId="0" borderId="0" xfId="1" applyNumberFormat="1" applyFont="1"/>
    <xf numFmtId="172" fontId="4" fillId="0" borderId="2" xfId="1" applyNumberFormat="1" applyFont="1" applyBorder="1"/>
    <xf numFmtId="172" fontId="4" fillId="0" borderId="3" xfId="1" applyNumberFormat="1" applyFont="1" applyBorder="1"/>
    <xf numFmtId="172" fontId="4" fillId="0" borderId="0" xfId="1" applyNumberFormat="1" applyFont="1"/>
    <xf numFmtId="1" fontId="4" fillId="0" borderId="2" xfId="1" applyNumberFormat="1" applyFont="1" applyBorder="1"/>
    <xf numFmtId="1" fontId="4" fillId="0" borderId="0" xfId="1" applyNumberFormat="1" applyFont="1"/>
    <xf numFmtId="3" fontId="4" fillId="0" borderId="3" xfId="1" applyNumberFormat="1" applyFont="1" applyBorder="1"/>
    <xf numFmtId="173" fontId="4" fillId="0" borderId="2" xfId="1" applyNumberFormat="1" applyFont="1" applyBorder="1"/>
    <xf numFmtId="173" fontId="4" fillId="0" borderId="3" xfId="1" applyNumberFormat="1" applyFont="1" applyBorder="1"/>
    <xf numFmtId="1" fontId="4" fillId="0" borderId="3" xfId="1" applyNumberFormat="1" applyFont="1" applyBorder="1"/>
    <xf numFmtId="0" fontId="4" fillId="0" borderId="0" xfId="1" applyFont="1" applyAlignment="1">
      <alignment horizontal="left"/>
    </xf>
    <xf numFmtId="0" fontId="4" fillId="0" borderId="2" xfId="1" applyFont="1" applyBorder="1"/>
    <xf numFmtId="3" fontId="4" fillId="0" borderId="4" xfId="1" applyNumberFormat="1" applyFont="1" applyBorder="1"/>
    <xf numFmtId="1" fontId="4" fillId="0" borderId="4" xfId="1" applyNumberFormat="1" applyFont="1" applyBorder="1"/>
    <xf numFmtId="3" fontId="4" fillId="0" borderId="0" xfId="1" applyNumberFormat="1" applyFont="1" applyAlignment="1">
      <alignment horizontal="left"/>
    </xf>
    <xf numFmtId="173" fontId="4" fillId="0" borderId="0" xfId="1" applyNumberFormat="1" applyFont="1"/>
    <xf numFmtId="0" fontId="4" fillId="0" borderId="5" xfId="1" applyFont="1" applyBorder="1"/>
    <xf numFmtId="0" fontId="4" fillId="0" borderId="6" xfId="1" applyFont="1" applyBorder="1"/>
    <xf numFmtId="0" fontId="4" fillId="0" borderId="7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6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4" fillId="0" borderId="6" xfId="1" applyFont="1" applyBorder="1" applyAlignment="1">
      <alignment horizontal="left"/>
    </xf>
    <xf numFmtId="3" fontId="4" fillId="0" borderId="7" xfId="1" applyNumberFormat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7" xfId="1" applyFont="1" applyBorder="1"/>
    <xf numFmtId="173" fontId="4" fillId="0" borderId="9" xfId="1" applyNumberFormat="1" applyFont="1" applyBorder="1"/>
    <xf numFmtId="0" fontId="4" fillId="0" borderId="3" xfId="1" applyFont="1" applyBorder="1"/>
    <xf numFmtId="0" fontId="4" fillId="0" borderId="4" xfId="1" applyFont="1" applyBorder="1"/>
    <xf numFmtId="173" fontId="4" fillId="0" borderId="8" xfId="1" applyNumberFormat="1" applyFont="1" applyBorder="1"/>
    <xf numFmtId="0" fontId="2" fillId="0" borderId="0" xfId="2" applyAlignment="1" applyProtection="1"/>
    <xf numFmtId="0" fontId="2" fillId="0" borderId="0" xfId="2" applyNumberFormat="1" applyAlignment="1" applyProtection="1"/>
    <xf numFmtId="0" fontId="5" fillId="0" borderId="0" xfId="2" applyFont="1" applyAlignment="1" applyProtection="1"/>
    <xf numFmtId="0" fontId="3" fillId="0" borderId="0" xfId="1" applyFont="1"/>
    <xf numFmtId="0" fontId="4" fillId="0" borderId="10" xfId="1" applyFont="1" applyBorder="1" applyAlignment="1">
      <alignment horizontal="center" vertical="center" wrapText="1"/>
    </xf>
    <xf numFmtId="0" fontId="4" fillId="0" borderId="0" xfId="1" applyFont="1" applyBorder="1"/>
    <xf numFmtId="0" fontId="4" fillId="0" borderId="0" xfId="1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right"/>
    </xf>
    <xf numFmtId="0" fontId="4" fillId="0" borderId="4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4" fillId="0" borderId="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4"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urier New"/>
        <family val="3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urier New"/>
        <family val="3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urier New"/>
        <family val="3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B8DF2-5D1E-EF4F-BA7D-029E13546877}" name="Table1" displayName="Table1" ref="A1:E50" totalsRowShown="0" headerRowDxfId="1" tableBorderDxfId="0" headerRowCellStyle="Comma">
  <tableColumns count="5">
    <tableColumn id="1" xr3:uid="{00000000-0010-0000-0100-000001000000}" name="Year" dataDxfId="3" dataCellStyle="Comma"/>
    <tableColumn id="2" xr3:uid="{00000000-0010-0000-0100-000002000000}" name=" Army"/>
    <tableColumn id="3" xr3:uid="{00000000-0010-0000-0100-000003000000}" name="Navy"/>
    <tableColumn id="4" xr3:uid="{00000000-0010-0000-0100-000004000000}" name="Marine Corps" dataDxfId="2" dataCellStyle="Comma"/>
    <tableColumn id="5" xr3:uid="{00000000-0010-0000-0100-000005000000}" name=" Air Fo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F5BF-97CC-A749-B67D-B8EA77FF73FC}">
  <sheetPr>
    <pageSetUpPr autoPageBreaks="0"/>
  </sheetPr>
  <dimension ref="A1:IS99"/>
  <sheetViews>
    <sheetView showGridLines="0" showOutlineSymbols="0" zoomScale="75" zoomScaleNormal="100" workbookViewId="0">
      <pane xSplit="7" ySplit="8" topLeftCell="H28" activePane="bottomRight" state="frozen"/>
      <selection pane="topRight" activeCell="H1" sqref="H1"/>
      <selection pane="bottomLeft" activeCell="A9" sqref="A9"/>
      <selection pane="bottomRight" activeCell="H9" sqref="H9:H57"/>
    </sheetView>
  </sheetViews>
  <sheetFormatPr baseColWidth="10" defaultColWidth="12.7109375" defaultRowHeight="17" x14ac:dyDescent="0.25"/>
  <cols>
    <col min="1" max="1" width="24" style="3" customWidth="1"/>
    <col min="2" max="7" width="12.7109375" style="3" hidden="1" customWidth="1"/>
    <col min="8" max="8" width="11.42578125" style="3" customWidth="1"/>
    <col min="9" max="18" width="9.7109375" style="3" customWidth="1"/>
    <col min="19" max="19" width="9.42578125" style="3" customWidth="1"/>
    <col min="20" max="23" width="9.7109375" style="3" customWidth="1"/>
    <col min="24" max="24" width="10.85546875" style="3" customWidth="1"/>
    <col min="25" max="27" width="9.7109375" style="3" customWidth="1"/>
    <col min="28" max="28" width="10.85546875" style="3" customWidth="1"/>
    <col min="29" max="16384" width="12.7109375" style="3"/>
  </cols>
  <sheetData>
    <row r="1" spans="1:28" x14ac:dyDescent="0.25">
      <c r="A1" s="3" t="s">
        <v>83</v>
      </c>
    </row>
    <row r="3" spans="1:28" x14ac:dyDescent="0.25">
      <c r="A3" s="40" t="s">
        <v>79</v>
      </c>
    </row>
    <row r="4" spans="1:28" x14ac:dyDescent="0.25">
      <c r="A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47" t="s">
        <v>3</v>
      </c>
      <c r="B5" s="24"/>
      <c r="C5" s="24" t="s">
        <v>62</v>
      </c>
      <c r="D5" s="24" t="s">
        <v>62</v>
      </c>
      <c r="E5" s="24" t="s">
        <v>62</v>
      </c>
      <c r="F5" s="24" t="s">
        <v>62</v>
      </c>
      <c r="G5" s="24" t="s">
        <v>67</v>
      </c>
      <c r="H5" s="50" t="s">
        <v>73</v>
      </c>
      <c r="I5" s="56" t="s">
        <v>1</v>
      </c>
      <c r="J5" s="47"/>
      <c r="K5" s="47"/>
      <c r="L5" s="47"/>
      <c r="M5" s="57"/>
      <c r="N5" s="56" t="s">
        <v>59</v>
      </c>
      <c r="O5" s="47"/>
      <c r="P5" s="47"/>
      <c r="Q5" s="47"/>
      <c r="R5" s="47"/>
      <c r="S5" s="56" t="s">
        <v>60</v>
      </c>
      <c r="T5" s="47"/>
      <c r="U5" s="47"/>
      <c r="V5" s="47"/>
      <c r="W5" s="47"/>
      <c r="X5" s="56" t="s">
        <v>2</v>
      </c>
      <c r="Y5" s="47"/>
      <c r="Z5" s="47"/>
      <c r="AA5" s="47"/>
      <c r="AB5" s="47"/>
    </row>
    <row r="6" spans="1:28" x14ac:dyDescent="0.25">
      <c r="A6" s="48"/>
      <c r="C6" s="3" t="s">
        <v>63</v>
      </c>
      <c r="D6" s="3" t="s">
        <v>64</v>
      </c>
      <c r="E6" s="3" t="s">
        <v>65</v>
      </c>
      <c r="F6" s="3" t="s">
        <v>66</v>
      </c>
      <c r="G6" s="3" t="s">
        <v>68</v>
      </c>
      <c r="H6" s="51"/>
      <c r="I6" s="58"/>
      <c r="J6" s="49"/>
      <c r="K6" s="49"/>
      <c r="L6" s="49"/>
      <c r="M6" s="59"/>
      <c r="N6" s="58"/>
      <c r="O6" s="49"/>
      <c r="P6" s="49"/>
      <c r="Q6" s="49"/>
      <c r="R6" s="49"/>
      <c r="S6" s="58"/>
      <c r="T6" s="49"/>
      <c r="U6" s="49"/>
      <c r="V6" s="49"/>
      <c r="W6" s="49"/>
      <c r="X6" s="58"/>
      <c r="Y6" s="49"/>
      <c r="Z6" s="49"/>
      <c r="AA6" s="49"/>
      <c r="AB6" s="49"/>
    </row>
    <row r="7" spans="1:28" x14ac:dyDescent="0.25">
      <c r="A7" s="48"/>
      <c r="B7" s="3" t="s">
        <v>49</v>
      </c>
      <c r="H7" s="51"/>
      <c r="I7" s="5"/>
      <c r="J7" s="53" t="s">
        <v>52</v>
      </c>
      <c r="K7" s="54"/>
      <c r="L7" s="53" t="s">
        <v>53</v>
      </c>
      <c r="M7" s="55"/>
      <c r="N7" s="5"/>
      <c r="O7" s="53" t="s">
        <v>52</v>
      </c>
      <c r="P7" s="54"/>
      <c r="Q7" s="53" t="s">
        <v>53</v>
      </c>
      <c r="R7" s="55"/>
      <c r="S7" s="5"/>
      <c r="T7" s="53" t="s">
        <v>52</v>
      </c>
      <c r="U7" s="54"/>
      <c r="V7" s="60" t="s">
        <v>53</v>
      </c>
      <c r="W7" s="60"/>
      <c r="X7" s="5"/>
      <c r="Y7" s="53" t="s">
        <v>52</v>
      </c>
      <c r="Z7" s="54"/>
      <c r="AA7" s="53" t="s">
        <v>53</v>
      </c>
      <c r="AB7" s="54"/>
    </row>
    <row r="8" spans="1:28" x14ac:dyDescent="0.25">
      <c r="A8" s="49"/>
      <c r="B8" s="25" t="s">
        <v>50</v>
      </c>
      <c r="C8" s="25"/>
      <c r="D8" s="25"/>
      <c r="E8" s="25"/>
      <c r="F8" s="25"/>
      <c r="G8" s="25"/>
      <c r="H8" s="52"/>
      <c r="I8" s="27" t="s">
        <v>51</v>
      </c>
      <c r="J8" s="27" t="s">
        <v>4</v>
      </c>
      <c r="K8" s="28" t="s">
        <v>5</v>
      </c>
      <c r="L8" s="27" t="s">
        <v>4</v>
      </c>
      <c r="M8" s="29" t="s">
        <v>5</v>
      </c>
      <c r="N8" s="27" t="s">
        <v>51</v>
      </c>
      <c r="O8" s="27" t="s">
        <v>4</v>
      </c>
      <c r="P8" s="28" t="s">
        <v>5</v>
      </c>
      <c r="Q8" s="27" t="s">
        <v>4</v>
      </c>
      <c r="R8" s="29" t="s">
        <v>5</v>
      </c>
      <c r="S8" s="27" t="s">
        <v>51</v>
      </c>
      <c r="T8" s="27" t="s">
        <v>4</v>
      </c>
      <c r="U8" s="28" t="s">
        <v>5</v>
      </c>
      <c r="V8" s="26" t="s">
        <v>4</v>
      </c>
      <c r="W8" s="26" t="s">
        <v>5</v>
      </c>
      <c r="X8" s="27" t="s">
        <v>51</v>
      </c>
      <c r="Y8" s="27" t="s">
        <v>4</v>
      </c>
      <c r="Z8" s="28" t="s">
        <v>5</v>
      </c>
      <c r="AA8" s="27" t="s">
        <v>4</v>
      </c>
      <c r="AB8" s="28" t="s">
        <v>5</v>
      </c>
    </row>
    <row r="9" spans="1:28" x14ac:dyDescent="0.25">
      <c r="A9" s="3" t="s">
        <v>6</v>
      </c>
      <c r="B9" s="6">
        <f t="shared" ref="B9:B53" si="0">H9-(I9+N9+S9+X9)</f>
        <v>-1</v>
      </c>
      <c r="C9" s="6">
        <f t="shared" ref="C9:C53" si="1">+H9-I9-N9-S9-X9</f>
        <v>-1</v>
      </c>
      <c r="D9" s="6">
        <f t="shared" ref="D9:D53" si="2">+I9-SUM(J9:M9)</f>
        <v>2</v>
      </c>
      <c r="E9" s="6">
        <f t="shared" ref="E9:E53" si="3">+N9-SUM(O9:R9)</f>
        <v>2</v>
      </c>
      <c r="F9" s="6">
        <f t="shared" ref="F9:F53" si="4">+S9-SUM(T9:W9)</f>
        <v>1</v>
      </c>
      <c r="G9" s="6">
        <f t="shared" ref="G9:G53" si="5">+X9-SUM(Y9:AB9)</f>
        <v>2</v>
      </c>
      <c r="H9" s="7">
        <v>2475</v>
      </c>
      <c r="I9" s="7">
        <v>873</v>
      </c>
      <c r="J9" s="7">
        <v>96.736999999999995</v>
      </c>
      <c r="K9" s="8">
        <v>761.721</v>
      </c>
      <c r="L9" s="9">
        <v>4.2629999999999999</v>
      </c>
      <c r="M9" s="10">
        <v>8.2789999999999999</v>
      </c>
      <c r="N9" s="7">
        <v>617</v>
      </c>
      <c r="O9" s="7">
        <v>67.289000000000001</v>
      </c>
      <c r="P9" s="14">
        <v>539.64</v>
      </c>
      <c r="Q9" s="11">
        <v>2.7109999999999999</v>
      </c>
      <c r="R9" s="11">
        <v>5.36</v>
      </c>
      <c r="S9" s="7">
        <v>171</v>
      </c>
      <c r="T9" s="12">
        <v>15.877000000000001</v>
      </c>
      <c r="U9" s="13">
        <v>152.512</v>
      </c>
      <c r="V9" s="15">
        <v>0.123</v>
      </c>
      <c r="W9" s="16">
        <v>1.488</v>
      </c>
      <c r="X9" s="7">
        <v>815</v>
      </c>
      <c r="Y9" s="12">
        <v>126.325</v>
      </c>
      <c r="Z9" s="17">
        <v>677.34900000000005</v>
      </c>
      <c r="AA9" s="11">
        <v>3.6749999999999998</v>
      </c>
      <c r="AB9" s="11">
        <v>5.6509999999999998</v>
      </c>
    </row>
    <row r="10" spans="1:28" x14ac:dyDescent="0.25">
      <c r="A10" s="3" t="s">
        <v>7</v>
      </c>
      <c r="B10" s="6">
        <f t="shared" si="0"/>
        <v>0</v>
      </c>
      <c r="C10" s="6">
        <f t="shared" si="1"/>
        <v>0</v>
      </c>
      <c r="D10" s="6">
        <f t="shared" si="2"/>
        <v>2</v>
      </c>
      <c r="E10" s="6">
        <f t="shared" si="3"/>
        <v>4</v>
      </c>
      <c r="F10" s="6">
        <f t="shared" si="4"/>
        <v>0</v>
      </c>
      <c r="G10" s="6">
        <f t="shared" si="5"/>
        <v>2.0000000000001137</v>
      </c>
      <c r="H10" s="7">
        <v>2483</v>
      </c>
      <c r="I10" s="7">
        <v>859</v>
      </c>
      <c r="J10" s="7">
        <v>95.748999999999995</v>
      </c>
      <c r="K10" s="8">
        <v>748.44</v>
      </c>
      <c r="L10" s="9">
        <v>4.2510000000000003</v>
      </c>
      <c r="M10" s="10">
        <v>8.56</v>
      </c>
      <c r="N10" s="7">
        <v>626</v>
      </c>
      <c r="O10" s="7">
        <v>67.263999999999996</v>
      </c>
      <c r="P10" s="14">
        <v>546.06399999999996</v>
      </c>
      <c r="Q10" s="11">
        <v>2.7360000000000002</v>
      </c>
      <c r="R10" s="11">
        <v>5.9359999999999999</v>
      </c>
      <c r="S10" s="7">
        <v>177</v>
      </c>
      <c r="T10" s="12">
        <v>15.882999999999999</v>
      </c>
      <c r="U10" s="13">
        <v>159.505</v>
      </c>
      <c r="V10" s="15">
        <v>0.11700000000000001</v>
      </c>
      <c r="W10" s="16">
        <v>1.4950000000000001</v>
      </c>
      <c r="X10" s="7">
        <v>821</v>
      </c>
      <c r="Y10" s="12">
        <v>125.32</v>
      </c>
      <c r="Z10" s="17">
        <v>684.70399999999995</v>
      </c>
      <c r="AA10" s="11">
        <v>3.68</v>
      </c>
      <c r="AB10" s="11">
        <v>5.2960000000000003</v>
      </c>
    </row>
    <row r="11" spans="1:28" x14ac:dyDescent="0.25">
      <c r="A11" s="3" t="s">
        <v>8</v>
      </c>
      <c r="B11" s="6">
        <f t="shared" si="0"/>
        <v>1</v>
      </c>
      <c r="C11" s="6">
        <f t="shared" si="1"/>
        <v>1</v>
      </c>
      <c r="D11" s="6">
        <f t="shared" si="2"/>
        <v>1</v>
      </c>
      <c r="E11" s="6">
        <f t="shared" si="3"/>
        <v>4</v>
      </c>
      <c r="F11" s="6">
        <f t="shared" si="4"/>
        <v>0</v>
      </c>
      <c r="G11" s="6">
        <f t="shared" si="5"/>
        <v>3.0000000000001137</v>
      </c>
      <c r="H11" s="7">
        <v>2806</v>
      </c>
      <c r="I11" s="7">
        <v>1066</v>
      </c>
      <c r="J11" s="7">
        <v>111.64700000000001</v>
      </c>
      <c r="K11" s="8">
        <v>940.279</v>
      </c>
      <c r="L11" s="9">
        <v>4.3529999999999998</v>
      </c>
      <c r="M11" s="10">
        <v>8.7210000000000001</v>
      </c>
      <c r="N11" s="7">
        <v>664</v>
      </c>
      <c r="O11" s="7">
        <v>72.260000000000005</v>
      </c>
      <c r="P11" s="14">
        <v>579.07399999999996</v>
      </c>
      <c r="Q11" s="11">
        <v>2.74</v>
      </c>
      <c r="R11" s="11">
        <v>5.9260000000000002</v>
      </c>
      <c r="S11" s="7">
        <v>191</v>
      </c>
      <c r="T11" s="12">
        <v>16.879000000000001</v>
      </c>
      <c r="U11" s="13">
        <v>172.42400000000001</v>
      </c>
      <c r="V11" s="15">
        <v>0.121</v>
      </c>
      <c r="W11" s="16">
        <v>1.5760000000000001</v>
      </c>
      <c r="X11" s="7">
        <v>884</v>
      </c>
      <c r="Y11" s="12">
        <v>131.04599999999999</v>
      </c>
      <c r="Z11" s="17">
        <v>741.178</v>
      </c>
      <c r="AA11" s="11">
        <v>3.9540000000000002</v>
      </c>
      <c r="AB11" s="11">
        <v>4.8220000000000001</v>
      </c>
    </row>
    <row r="12" spans="1:28" x14ac:dyDescent="0.25">
      <c r="A12" s="3" t="s">
        <v>9</v>
      </c>
      <c r="B12" s="6">
        <f t="shared" si="0"/>
        <v>0</v>
      </c>
      <c r="C12" s="6">
        <f t="shared" si="1"/>
        <v>0</v>
      </c>
      <c r="D12" s="6">
        <f t="shared" si="2"/>
        <v>2</v>
      </c>
      <c r="E12" s="6">
        <f t="shared" si="3"/>
        <v>4</v>
      </c>
      <c r="F12" s="6">
        <f t="shared" si="4"/>
        <v>0</v>
      </c>
      <c r="G12" s="6">
        <f t="shared" si="5"/>
        <v>2</v>
      </c>
      <c r="H12" s="7">
        <v>2699</v>
      </c>
      <c r="I12" s="7">
        <v>976</v>
      </c>
      <c r="J12" s="7">
        <v>104.148</v>
      </c>
      <c r="K12" s="8">
        <v>857.70799999999997</v>
      </c>
      <c r="L12" s="9">
        <v>3.8519999999999999</v>
      </c>
      <c r="M12" s="10">
        <v>8.2919999999999998</v>
      </c>
      <c r="N12" s="7">
        <v>664</v>
      </c>
      <c r="O12" s="7">
        <v>73.34</v>
      </c>
      <c r="P12" s="14">
        <v>578.44399999999996</v>
      </c>
      <c r="Q12" s="11">
        <v>2.66</v>
      </c>
      <c r="R12" s="11">
        <v>5.556</v>
      </c>
      <c r="S12" s="7">
        <v>190</v>
      </c>
      <c r="T12" s="12">
        <v>16.864999999999998</v>
      </c>
      <c r="U12" s="13">
        <v>171.43700000000001</v>
      </c>
      <c r="V12" s="15">
        <v>0.13500000000000001</v>
      </c>
      <c r="W12" s="16">
        <v>1.5629999999999999</v>
      </c>
      <c r="X12" s="7">
        <v>869</v>
      </c>
      <c r="Y12" s="12">
        <v>130.09100000000001</v>
      </c>
      <c r="Z12" s="17">
        <v>728.19600000000003</v>
      </c>
      <c r="AA12" s="11">
        <v>3.9089999999999998</v>
      </c>
      <c r="AB12" s="11">
        <v>4.8040000000000003</v>
      </c>
    </row>
    <row r="13" spans="1:28" x14ac:dyDescent="0.25">
      <c r="A13" s="3" t="s">
        <v>10</v>
      </c>
      <c r="B13" s="6">
        <f t="shared" si="0"/>
        <v>0</v>
      </c>
      <c r="C13" s="6">
        <f t="shared" si="1"/>
        <v>0</v>
      </c>
      <c r="D13" s="6">
        <f t="shared" si="2"/>
        <v>1</v>
      </c>
      <c r="E13" s="6">
        <f t="shared" si="3"/>
        <v>5</v>
      </c>
      <c r="F13" s="6">
        <f t="shared" si="4"/>
        <v>0</v>
      </c>
      <c r="G13" s="6">
        <f t="shared" si="5"/>
        <v>3</v>
      </c>
      <c r="H13" s="7">
        <v>2686</v>
      </c>
      <c r="I13" s="7">
        <v>973</v>
      </c>
      <c r="J13" s="7">
        <v>107.22799999999999</v>
      </c>
      <c r="K13" s="8">
        <v>853.04200000000003</v>
      </c>
      <c r="L13" s="9">
        <v>3.7719999999999998</v>
      </c>
      <c r="M13" s="10">
        <v>7.9580000000000002</v>
      </c>
      <c r="N13" s="7">
        <v>666</v>
      </c>
      <c r="O13" s="7">
        <v>73.322000000000003</v>
      </c>
      <c r="P13" s="14">
        <v>579.93700000000001</v>
      </c>
      <c r="Q13" s="11">
        <v>2.6779999999999999</v>
      </c>
      <c r="R13" s="11">
        <v>5.0629999999999997</v>
      </c>
      <c r="S13" s="7">
        <v>190</v>
      </c>
      <c r="T13" s="12">
        <v>16.872</v>
      </c>
      <c r="U13" s="13">
        <v>171.68</v>
      </c>
      <c r="V13" s="15">
        <v>0.128</v>
      </c>
      <c r="W13" s="16">
        <v>1.32</v>
      </c>
      <c r="X13" s="7">
        <v>857</v>
      </c>
      <c r="Y13" s="12">
        <v>128.96899999999999</v>
      </c>
      <c r="Z13" s="17">
        <v>716.15499999999997</v>
      </c>
      <c r="AA13" s="11">
        <v>4.0309999999999997</v>
      </c>
      <c r="AB13" s="11">
        <v>4.8449999999999998</v>
      </c>
    </row>
    <row r="14" spans="1:28" x14ac:dyDescent="0.25">
      <c r="A14" s="3" t="s">
        <v>11</v>
      </c>
      <c r="B14" s="6">
        <f t="shared" si="0"/>
        <v>0</v>
      </c>
      <c r="C14" s="6">
        <f t="shared" si="1"/>
        <v>0</v>
      </c>
      <c r="D14" s="6">
        <f t="shared" si="2"/>
        <v>2</v>
      </c>
      <c r="E14" s="6">
        <f t="shared" si="3"/>
        <v>4</v>
      </c>
      <c r="F14" s="6">
        <f t="shared" si="4"/>
        <v>0</v>
      </c>
      <c r="G14" s="6">
        <f t="shared" si="5"/>
        <v>3</v>
      </c>
      <c r="H14" s="7">
        <v>2654</v>
      </c>
      <c r="I14" s="7">
        <v>969</v>
      </c>
      <c r="J14" s="7">
        <v>108.194</v>
      </c>
      <c r="K14" s="8">
        <v>846.48</v>
      </c>
      <c r="L14" s="9">
        <v>3.806</v>
      </c>
      <c r="M14" s="10">
        <v>8.52</v>
      </c>
      <c r="N14" s="7">
        <v>670</v>
      </c>
      <c r="O14" s="7">
        <v>75.399000000000001</v>
      </c>
      <c r="P14" s="14">
        <v>582.73900000000003</v>
      </c>
      <c r="Q14" s="11">
        <v>2.601</v>
      </c>
      <c r="R14" s="11">
        <v>5.2610000000000001</v>
      </c>
      <c r="S14" s="7">
        <v>190</v>
      </c>
      <c r="T14" s="12">
        <v>16.86</v>
      </c>
      <c r="U14" s="13">
        <v>171.559</v>
      </c>
      <c r="V14" s="15">
        <v>0.14000000000000001</v>
      </c>
      <c r="W14" s="16">
        <v>1.4410000000000001</v>
      </c>
      <c r="X14" s="7">
        <v>825</v>
      </c>
      <c r="Y14" s="12">
        <v>127.9</v>
      </c>
      <c r="Z14" s="17">
        <v>685.25900000000001</v>
      </c>
      <c r="AA14" s="11">
        <v>4.0999999999999996</v>
      </c>
      <c r="AB14" s="11">
        <v>4.7409999999999997</v>
      </c>
    </row>
    <row r="15" spans="1:28" x14ac:dyDescent="0.25">
      <c r="A15" s="3" t="s">
        <v>12</v>
      </c>
      <c r="B15" s="6">
        <f t="shared" si="0"/>
        <v>0</v>
      </c>
      <c r="C15" s="6">
        <f t="shared" si="1"/>
        <v>0</v>
      </c>
      <c r="D15" s="6">
        <f t="shared" si="2"/>
        <v>2</v>
      </c>
      <c r="E15" s="6">
        <f t="shared" si="3"/>
        <v>4</v>
      </c>
      <c r="F15" s="6">
        <f t="shared" si="4"/>
        <v>0</v>
      </c>
      <c r="G15" s="6">
        <f t="shared" si="5"/>
        <v>3</v>
      </c>
      <c r="H15" s="7">
        <v>3092</v>
      </c>
      <c r="I15" s="7">
        <v>1200</v>
      </c>
      <c r="J15" s="7">
        <v>113.857</v>
      </c>
      <c r="K15" s="8">
        <v>1070.8209999999999</v>
      </c>
      <c r="L15" s="9">
        <v>4.1429999999999998</v>
      </c>
      <c r="M15" s="10">
        <v>9.1790000000000003</v>
      </c>
      <c r="N15" s="7">
        <v>743</v>
      </c>
      <c r="O15" s="7">
        <v>77.192000000000007</v>
      </c>
      <c r="P15" s="14">
        <v>653.61199999999997</v>
      </c>
      <c r="Q15" s="11">
        <v>2.8079999999999998</v>
      </c>
      <c r="R15" s="11">
        <v>5.3879999999999999</v>
      </c>
      <c r="S15" s="7">
        <v>262</v>
      </c>
      <c r="T15" s="12">
        <v>20.847000000000001</v>
      </c>
      <c r="U15" s="13">
        <v>239.321</v>
      </c>
      <c r="V15" s="15">
        <v>0.153</v>
      </c>
      <c r="W15" s="16">
        <v>1.679</v>
      </c>
      <c r="X15" s="7">
        <v>887</v>
      </c>
      <c r="Y15" s="12">
        <v>126.81100000000001</v>
      </c>
      <c r="Z15" s="17">
        <v>747.95</v>
      </c>
      <c r="AA15" s="11">
        <v>4.1890000000000001</v>
      </c>
      <c r="AB15" s="11">
        <v>5.05</v>
      </c>
    </row>
    <row r="16" spans="1:28" x14ac:dyDescent="0.25">
      <c r="A16" s="3" t="s">
        <v>13</v>
      </c>
      <c r="B16" s="6">
        <f t="shared" si="0"/>
        <v>1</v>
      </c>
      <c r="C16" s="6">
        <f t="shared" si="1"/>
        <v>1</v>
      </c>
      <c r="D16" s="6">
        <f t="shared" si="2"/>
        <v>1</v>
      </c>
      <c r="E16" s="6">
        <f t="shared" si="3"/>
        <v>4</v>
      </c>
      <c r="F16" s="6">
        <f t="shared" si="4"/>
        <v>-1</v>
      </c>
      <c r="G16" s="6">
        <f t="shared" si="5"/>
        <v>3</v>
      </c>
      <c r="H16" s="7">
        <v>3375</v>
      </c>
      <c r="I16" s="7">
        <v>1442</v>
      </c>
      <c r="J16" s="7">
        <v>139.25800000000001</v>
      </c>
      <c r="K16" s="8">
        <v>1287.259</v>
      </c>
      <c r="L16" s="9">
        <v>4.742</v>
      </c>
      <c r="M16" s="10">
        <v>9.7409999999999997</v>
      </c>
      <c r="N16" s="7">
        <v>750</v>
      </c>
      <c r="O16" s="7">
        <v>78.981999999999999</v>
      </c>
      <c r="P16" s="14">
        <v>658.49699999999996</v>
      </c>
      <c r="Q16" s="11">
        <v>3.0179999999999998</v>
      </c>
      <c r="R16" s="11">
        <v>5.5030000000000001</v>
      </c>
      <c r="S16" s="7">
        <v>285</v>
      </c>
      <c r="T16" s="12">
        <v>23.811</v>
      </c>
      <c r="U16" s="13">
        <v>259.87799999999999</v>
      </c>
      <c r="V16" s="15">
        <v>0.189</v>
      </c>
      <c r="W16" s="16">
        <v>2.1219999999999999</v>
      </c>
      <c r="X16" s="7">
        <v>897</v>
      </c>
      <c r="Y16" s="12">
        <v>130.33000000000001</v>
      </c>
      <c r="Z16" s="17">
        <v>753.81200000000001</v>
      </c>
      <c r="AA16" s="11">
        <v>4.67</v>
      </c>
      <c r="AB16" s="11">
        <v>5.1879999999999997</v>
      </c>
    </row>
    <row r="17" spans="1:28" x14ac:dyDescent="0.25">
      <c r="A17" s="3" t="s">
        <v>14</v>
      </c>
      <c r="B17" s="6">
        <f t="shared" si="0"/>
        <v>0</v>
      </c>
      <c r="C17" s="6">
        <f t="shared" si="1"/>
        <v>0</v>
      </c>
      <c r="D17" s="6">
        <f t="shared" si="2"/>
        <v>2</v>
      </c>
      <c r="E17" s="6">
        <f t="shared" si="3"/>
        <v>5</v>
      </c>
      <c r="F17" s="6">
        <f t="shared" si="4"/>
        <v>-1</v>
      </c>
      <c r="G17" s="6">
        <f t="shared" si="5"/>
        <v>3</v>
      </c>
      <c r="H17" s="7">
        <v>3546</v>
      </c>
      <c r="I17" s="7">
        <v>1570</v>
      </c>
      <c r="J17" s="7">
        <v>160.904</v>
      </c>
      <c r="K17" s="8">
        <v>1391.289</v>
      </c>
      <c r="L17" s="9">
        <v>5.0960000000000001</v>
      </c>
      <c r="M17" s="10">
        <v>10.711</v>
      </c>
      <c r="N17" s="7">
        <v>764</v>
      </c>
      <c r="O17" s="7">
        <v>81.968000000000004</v>
      </c>
      <c r="P17" s="14">
        <v>668.33600000000001</v>
      </c>
      <c r="Q17" s="11">
        <v>3.032</v>
      </c>
      <c r="R17" s="11">
        <v>5.6639999999999997</v>
      </c>
      <c r="S17" s="7">
        <v>307</v>
      </c>
      <c r="T17" s="12">
        <v>24.774999999999999</v>
      </c>
      <c r="U17" s="13">
        <v>280.44499999999999</v>
      </c>
      <c r="V17" s="15">
        <v>0.22500000000000001</v>
      </c>
      <c r="W17" s="16">
        <v>2.5550000000000002</v>
      </c>
      <c r="X17" s="7">
        <v>905</v>
      </c>
      <c r="Y17" s="12">
        <v>135.00900000000001</v>
      </c>
      <c r="Z17" s="17">
        <v>755.87699999999995</v>
      </c>
      <c r="AA17" s="11">
        <v>4.9909999999999997</v>
      </c>
      <c r="AB17" s="11">
        <v>6.1230000000000002</v>
      </c>
    </row>
    <row r="18" spans="1:28" x14ac:dyDescent="0.25">
      <c r="A18" s="3" t="s">
        <v>15</v>
      </c>
      <c r="B18" s="6">
        <f t="shared" si="0"/>
        <v>0</v>
      </c>
      <c r="C18" s="6">
        <f t="shared" si="1"/>
        <v>0</v>
      </c>
      <c r="D18" s="6">
        <f t="shared" si="2"/>
        <v>2</v>
      </c>
      <c r="E18" s="6">
        <f t="shared" si="3"/>
        <v>5</v>
      </c>
      <c r="F18" s="6">
        <f t="shared" si="4"/>
        <v>0</v>
      </c>
      <c r="G18" s="6">
        <f t="shared" si="5"/>
        <v>4.0000000000001137</v>
      </c>
      <c r="H18" s="7">
        <v>3458</v>
      </c>
      <c r="I18" s="7">
        <v>1512</v>
      </c>
      <c r="J18" s="7">
        <v>167.84299999999999</v>
      </c>
      <c r="K18" s="8">
        <v>1326.279</v>
      </c>
      <c r="L18" s="9">
        <v>5.157</v>
      </c>
      <c r="M18" s="10">
        <v>10.721</v>
      </c>
      <c r="N18" s="7">
        <v>774</v>
      </c>
      <c r="O18" s="7">
        <v>82.116</v>
      </c>
      <c r="P18" s="14">
        <v>678.24800000000005</v>
      </c>
      <c r="Q18" s="11">
        <v>2.8839999999999999</v>
      </c>
      <c r="R18" s="11">
        <v>5.7519999999999998</v>
      </c>
      <c r="S18" s="7">
        <v>310</v>
      </c>
      <c r="T18" s="12">
        <v>25.716000000000001</v>
      </c>
      <c r="U18" s="13">
        <v>281.55700000000002</v>
      </c>
      <c r="V18" s="15">
        <v>0.28399999999999997</v>
      </c>
      <c r="W18" s="16">
        <v>2.4430000000000001</v>
      </c>
      <c r="X18" s="7">
        <v>862</v>
      </c>
      <c r="Y18" s="12">
        <v>130.142</v>
      </c>
      <c r="Z18" s="17">
        <v>715.59299999999996</v>
      </c>
      <c r="AA18" s="11">
        <v>4.8579999999999997</v>
      </c>
      <c r="AB18" s="11">
        <v>7.407</v>
      </c>
    </row>
    <row r="19" spans="1:28" x14ac:dyDescent="0.25">
      <c r="A19" s="3" t="s">
        <v>16</v>
      </c>
      <c r="B19" s="6">
        <f t="shared" si="0"/>
        <v>0</v>
      </c>
      <c r="C19" s="6">
        <f t="shared" si="1"/>
        <v>0</v>
      </c>
      <c r="D19" s="6">
        <f t="shared" si="2"/>
        <v>3</v>
      </c>
      <c r="E19" s="6">
        <f t="shared" si="3"/>
        <v>4</v>
      </c>
      <c r="F19" s="6">
        <f t="shared" si="4"/>
        <v>0</v>
      </c>
      <c r="G19" s="6">
        <f t="shared" si="5"/>
        <v>4</v>
      </c>
      <c r="H19" s="7">
        <v>3065</v>
      </c>
      <c r="I19" s="7">
        <v>1323</v>
      </c>
      <c r="J19" s="7">
        <v>161.75200000000001</v>
      </c>
      <c r="K19" s="8">
        <v>1141.5239999999999</v>
      </c>
      <c r="L19" s="9">
        <v>5.2480000000000002</v>
      </c>
      <c r="M19" s="10">
        <v>11.476000000000001</v>
      </c>
      <c r="N19" s="7">
        <v>691</v>
      </c>
      <c r="O19" s="7">
        <v>78.111999999999995</v>
      </c>
      <c r="P19" s="14">
        <v>600.20500000000004</v>
      </c>
      <c r="Q19" s="11">
        <v>2.8879999999999999</v>
      </c>
      <c r="R19" s="11">
        <v>5.7949999999999999</v>
      </c>
      <c r="S19" s="7">
        <v>260</v>
      </c>
      <c r="T19" s="12">
        <v>24.701000000000001</v>
      </c>
      <c r="U19" s="13">
        <v>232.881</v>
      </c>
      <c r="V19" s="15">
        <v>0.29899999999999999</v>
      </c>
      <c r="W19" s="16">
        <v>2.1190000000000002</v>
      </c>
      <c r="X19" s="7">
        <v>791</v>
      </c>
      <c r="Y19" s="12">
        <v>125.333</v>
      </c>
      <c r="Z19" s="17">
        <v>648.01300000000003</v>
      </c>
      <c r="AA19" s="11">
        <v>4.6669999999999998</v>
      </c>
      <c r="AB19" s="11">
        <v>8.9870000000000001</v>
      </c>
    </row>
    <row r="20" spans="1:28" x14ac:dyDescent="0.25">
      <c r="A20" s="3" t="s">
        <v>17</v>
      </c>
      <c r="B20" s="6">
        <f t="shared" si="0"/>
        <v>0</v>
      </c>
      <c r="C20" s="6">
        <f t="shared" si="1"/>
        <v>0</v>
      </c>
      <c r="D20" s="6">
        <f t="shared" si="2"/>
        <v>3</v>
      </c>
      <c r="E20" s="6">
        <f t="shared" si="3"/>
        <v>5</v>
      </c>
      <c r="F20" s="6">
        <f t="shared" si="4"/>
        <v>-1</v>
      </c>
      <c r="G20" s="6">
        <f t="shared" si="5"/>
        <v>4</v>
      </c>
      <c r="H20" s="7">
        <v>2713</v>
      </c>
      <c r="I20" s="7">
        <v>1124</v>
      </c>
      <c r="J20" s="7">
        <v>143.96</v>
      </c>
      <c r="K20" s="8">
        <v>960.17499999999995</v>
      </c>
      <c r="L20" s="9">
        <v>5.04</v>
      </c>
      <c r="M20" s="10">
        <v>11.824999999999999</v>
      </c>
      <c r="N20" s="7">
        <v>622</v>
      </c>
      <c r="O20" s="7">
        <v>72.129000000000005</v>
      </c>
      <c r="P20" s="14">
        <v>536.07000000000005</v>
      </c>
      <c r="Q20" s="11">
        <v>2.871</v>
      </c>
      <c r="R20" s="11">
        <v>5.93</v>
      </c>
      <c r="S20" s="7">
        <v>212</v>
      </c>
      <c r="T20" s="12">
        <v>21.722000000000001</v>
      </c>
      <c r="U20" s="13">
        <v>189.01900000000001</v>
      </c>
      <c r="V20" s="15">
        <v>0.27800000000000002</v>
      </c>
      <c r="W20" s="16">
        <v>1.9810000000000001</v>
      </c>
      <c r="X20" s="7">
        <v>755</v>
      </c>
      <c r="Y20" s="12">
        <v>121.282</v>
      </c>
      <c r="Z20" s="17">
        <v>614.86800000000005</v>
      </c>
      <c r="AA20" s="11">
        <v>4.718</v>
      </c>
      <c r="AB20" s="11">
        <v>10.132</v>
      </c>
    </row>
    <row r="21" spans="1:28" x14ac:dyDescent="0.25">
      <c r="A21" s="3" t="s">
        <v>18</v>
      </c>
      <c r="B21" s="6">
        <f t="shared" si="0"/>
        <v>0</v>
      </c>
      <c r="C21" s="6">
        <f t="shared" si="1"/>
        <v>0</v>
      </c>
      <c r="D21" s="6">
        <f t="shared" si="2"/>
        <v>3</v>
      </c>
      <c r="E21" s="6">
        <f t="shared" si="3"/>
        <v>3.0000000000001137</v>
      </c>
      <c r="F21" s="6">
        <f t="shared" si="4"/>
        <v>0</v>
      </c>
      <c r="G21" s="6">
        <f t="shared" si="5"/>
        <v>4</v>
      </c>
      <c r="H21" s="7">
        <v>2322</v>
      </c>
      <c r="I21" s="7">
        <v>811</v>
      </c>
      <c r="J21" s="7">
        <v>116.578</v>
      </c>
      <c r="K21" s="8">
        <v>674.65099999999995</v>
      </c>
      <c r="L21" s="9">
        <v>4.4219999999999997</v>
      </c>
      <c r="M21" s="10">
        <v>12.349</v>
      </c>
      <c r="N21" s="7">
        <v>587</v>
      </c>
      <c r="O21" s="7">
        <v>69.814999999999998</v>
      </c>
      <c r="P21" s="14">
        <v>504.74299999999999</v>
      </c>
      <c r="Q21" s="11">
        <v>3.1850000000000001</v>
      </c>
      <c r="R21" s="11">
        <v>6.2569999999999997</v>
      </c>
      <c r="S21" s="7">
        <v>198</v>
      </c>
      <c r="T21" s="12">
        <v>19.736999999999998</v>
      </c>
      <c r="U21" s="13">
        <v>175.934</v>
      </c>
      <c r="V21" s="15">
        <v>0.26300000000000001</v>
      </c>
      <c r="W21" s="16">
        <v>2.0659999999999998</v>
      </c>
      <c r="X21" s="7">
        <v>726</v>
      </c>
      <c r="Y21" s="12">
        <v>117.23399999999999</v>
      </c>
      <c r="Z21" s="17">
        <v>588.27499999999998</v>
      </c>
      <c r="AA21" s="11">
        <v>4.766</v>
      </c>
      <c r="AB21" s="11">
        <v>11.725</v>
      </c>
    </row>
    <row r="22" spans="1:28" x14ac:dyDescent="0.25">
      <c r="A22" s="3" t="s">
        <v>19</v>
      </c>
      <c r="B22" s="6">
        <f t="shared" si="0"/>
        <v>0</v>
      </c>
      <c r="C22" s="6">
        <f t="shared" si="1"/>
        <v>0</v>
      </c>
      <c r="D22" s="6">
        <f t="shared" si="2"/>
        <v>3</v>
      </c>
      <c r="E22" s="6">
        <f t="shared" si="3"/>
        <v>3</v>
      </c>
      <c r="F22" s="6">
        <f t="shared" si="4"/>
        <v>0</v>
      </c>
      <c r="G22" s="6">
        <f t="shared" si="5"/>
        <v>4</v>
      </c>
      <c r="H22" s="7">
        <v>2252</v>
      </c>
      <c r="I22" s="7">
        <v>801</v>
      </c>
      <c r="J22" s="7">
        <v>111.721</v>
      </c>
      <c r="K22" s="8">
        <v>665.54300000000001</v>
      </c>
      <c r="L22" s="9">
        <v>4.2789999999999999</v>
      </c>
      <c r="M22" s="10">
        <v>16.457000000000001</v>
      </c>
      <c r="N22" s="7">
        <v>564</v>
      </c>
      <c r="O22" s="7">
        <v>67.546000000000006</v>
      </c>
      <c r="P22" s="14">
        <v>480.82600000000002</v>
      </c>
      <c r="Q22" s="11">
        <v>3.4540000000000002</v>
      </c>
      <c r="R22" s="11">
        <v>9.1739999999999995</v>
      </c>
      <c r="S22" s="7">
        <v>196</v>
      </c>
      <c r="T22" s="12">
        <v>18.684999999999999</v>
      </c>
      <c r="U22" s="13">
        <v>175.02699999999999</v>
      </c>
      <c r="V22" s="15">
        <v>0.315</v>
      </c>
      <c r="W22" s="16">
        <v>1.9730000000000001</v>
      </c>
      <c r="X22" s="7">
        <v>691</v>
      </c>
      <c r="Y22" s="12">
        <v>110.273</v>
      </c>
      <c r="Z22" s="17">
        <v>556.97699999999998</v>
      </c>
      <c r="AA22" s="11">
        <v>4.7270000000000003</v>
      </c>
      <c r="AB22" s="11">
        <v>15.023</v>
      </c>
    </row>
    <row r="23" spans="1:28" x14ac:dyDescent="0.25">
      <c r="A23" s="3" t="s">
        <v>20</v>
      </c>
      <c r="B23" s="6">
        <f t="shared" si="0"/>
        <v>0</v>
      </c>
      <c r="C23" s="6">
        <f t="shared" si="1"/>
        <v>0</v>
      </c>
      <c r="D23" s="6">
        <f t="shared" si="2"/>
        <v>3</v>
      </c>
      <c r="E23" s="6">
        <f t="shared" si="3"/>
        <v>4</v>
      </c>
      <c r="F23" s="6">
        <f t="shared" si="4"/>
        <v>0</v>
      </c>
      <c r="G23" s="6">
        <f t="shared" si="5"/>
        <v>4.9999999999998863</v>
      </c>
      <c r="H23" s="7">
        <v>2162</v>
      </c>
      <c r="I23" s="7">
        <v>783</v>
      </c>
      <c r="J23" s="7">
        <v>101.61199999999999</v>
      </c>
      <c r="K23" s="8">
        <v>647.673</v>
      </c>
      <c r="L23" s="9">
        <v>4.3879999999999999</v>
      </c>
      <c r="M23" s="10">
        <v>26.327000000000002</v>
      </c>
      <c r="N23" s="7">
        <v>546</v>
      </c>
      <c r="O23" s="7">
        <v>63.350999999999999</v>
      </c>
      <c r="P23" s="14">
        <v>461.61900000000003</v>
      </c>
      <c r="Q23" s="11">
        <v>3.649</v>
      </c>
      <c r="R23" s="11">
        <v>13.381</v>
      </c>
      <c r="S23" s="7">
        <v>189</v>
      </c>
      <c r="T23" s="12">
        <v>18.664000000000001</v>
      </c>
      <c r="U23" s="13">
        <v>167.59800000000001</v>
      </c>
      <c r="V23" s="15">
        <v>0.33600000000000002</v>
      </c>
      <c r="W23" s="16">
        <v>2.4020000000000001</v>
      </c>
      <c r="X23" s="7">
        <v>644</v>
      </c>
      <c r="Y23" s="12">
        <v>105.233</v>
      </c>
      <c r="Z23" s="17">
        <v>509.53500000000003</v>
      </c>
      <c r="AA23" s="11">
        <v>4.7670000000000003</v>
      </c>
      <c r="AB23" s="11">
        <v>19.465</v>
      </c>
    </row>
    <row r="24" spans="1:28" x14ac:dyDescent="0.25">
      <c r="A24" s="3" t="s">
        <v>21</v>
      </c>
      <c r="B24" s="6">
        <f t="shared" si="0"/>
        <v>0</v>
      </c>
      <c r="C24" s="6">
        <f t="shared" si="1"/>
        <v>0</v>
      </c>
      <c r="D24" s="6">
        <f t="shared" si="2"/>
        <v>3</v>
      </c>
      <c r="E24" s="6">
        <f t="shared" si="3"/>
        <v>2.9999999999998863</v>
      </c>
      <c r="F24" s="6">
        <f t="shared" si="4"/>
        <v>0</v>
      </c>
      <c r="G24" s="6">
        <f t="shared" si="5"/>
        <v>5</v>
      </c>
      <c r="H24" s="7">
        <v>2128</v>
      </c>
      <c r="I24" s="7">
        <v>784</v>
      </c>
      <c r="J24" s="7">
        <v>98.406000000000006</v>
      </c>
      <c r="K24" s="8">
        <v>640.29899999999998</v>
      </c>
      <c r="L24" s="9">
        <v>4.5940000000000003</v>
      </c>
      <c r="M24" s="10">
        <v>37.701000000000001</v>
      </c>
      <c r="N24" s="7">
        <v>535</v>
      </c>
      <c r="O24" s="7">
        <v>62.323999999999998</v>
      </c>
      <c r="P24" s="14">
        <v>448.50200000000001</v>
      </c>
      <c r="Q24" s="11">
        <v>3.6760000000000002</v>
      </c>
      <c r="R24" s="11">
        <v>17.498000000000001</v>
      </c>
      <c r="S24" s="7">
        <v>196</v>
      </c>
      <c r="T24" s="12">
        <v>18.655000000000001</v>
      </c>
      <c r="U24" s="13">
        <v>174.15899999999999</v>
      </c>
      <c r="V24" s="15">
        <v>0.34499999999999997</v>
      </c>
      <c r="W24" s="16">
        <v>2.8410000000000002</v>
      </c>
      <c r="X24" s="7">
        <v>613</v>
      </c>
      <c r="Y24" s="12">
        <v>100.01900000000001</v>
      </c>
      <c r="Z24" s="17">
        <v>477.76800000000003</v>
      </c>
      <c r="AA24" s="11">
        <v>4.9809999999999999</v>
      </c>
      <c r="AB24" s="11">
        <v>25.231999999999999</v>
      </c>
    </row>
    <row r="25" spans="1:28" x14ac:dyDescent="0.25">
      <c r="A25" s="3" t="s">
        <v>22</v>
      </c>
      <c r="B25" s="6">
        <f t="shared" si="0"/>
        <v>1</v>
      </c>
      <c r="C25" s="6">
        <f t="shared" si="1"/>
        <v>1</v>
      </c>
      <c r="D25" s="6">
        <f t="shared" si="2"/>
        <v>2</v>
      </c>
      <c r="E25" s="6">
        <f t="shared" si="3"/>
        <v>3</v>
      </c>
      <c r="F25" s="6">
        <f t="shared" si="4"/>
        <v>-1</v>
      </c>
      <c r="G25" s="6">
        <f t="shared" si="5"/>
        <v>4</v>
      </c>
      <c r="H25" s="7">
        <v>2082</v>
      </c>
      <c r="I25" s="7">
        <v>779</v>
      </c>
      <c r="J25" s="7">
        <v>94.156000000000006</v>
      </c>
      <c r="K25" s="8">
        <v>634.19399999999996</v>
      </c>
      <c r="L25" s="9">
        <v>4.8440000000000003</v>
      </c>
      <c r="M25" s="10">
        <v>43.805999999999997</v>
      </c>
      <c r="N25" s="7">
        <v>525</v>
      </c>
      <c r="O25" s="7">
        <v>60.456000000000003</v>
      </c>
      <c r="P25" s="14">
        <v>438.71199999999999</v>
      </c>
      <c r="Q25" s="11">
        <v>3.544</v>
      </c>
      <c r="R25" s="11">
        <v>19.288</v>
      </c>
      <c r="S25" s="7">
        <v>192</v>
      </c>
      <c r="T25" s="12">
        <v>18.614000000000001</v>
      </c>
      <c r="U25" s="13">
        <v>170.93700000000001</v>
      </c>
      <c r="V25" s="15">
        <v>0.38600000000000001</v>
      </c>
      <c r="W25" s="16">
        <v>3.0630000000000002</v>
      </c>
      <c r="X25" s="7">
        <v>585</v>
      </c>
      <c r="Y25" s="12">
        <v>95.033000000000001</v>
      </c>
      <c r="Z25" s="17">
        <v>451.76499999999999</v>
      </c>
      <c r="AA25" s="11">
        <v>4.9669999999999996</v>
      </c>
      <c r="AB25" s="11">
        <v>29.234999999999999</v>
      </c>
    </row>
    <row r="26" spans="1:28" x14ac:dyDescent="0.25">
      <c r="A26" s="3" t="s">
        <v>23</v>
      </c>
      <c r="B26" s="6">
        <f t="shared" si="0"/>
        <v>0</v>
      </c>
      <c r="C26" s="6">
        <f t="shared" si="1"/>
        <v>0</v>
      </c>
      <c r="D26" s="6">
        <f t="shared" si="2"/>
        <v>4</v>
      </c>
      <c r="E26" s="6">
        <f t="shared" si="3"/>
        <v>5</v>
      </c>
      <c r="F26" s="6">
        <f t="shared" si="4"/>
        <v>0</v>
      </c>
      <c r="G26" s="6">
        <f t="shared" si="5"/>
        <v>5</v>
      </c>
      <c r="H26" s="7">
        <v>2075</v>
      </c>
      <c r="I26" s="7">
        <v>782</v>
      </c>
      <c r="J26" s="7">
        <v>92.304000000000002</v>
      </c>
      <c r="K26" s="8">
        <v>633.90599999999995</v>
      </c>
      <c r="L26" s="9">
        <v>5.6959999999999997</v>
      </c>
      <c r="M26" s="10">
        <v>46.094000000000001</v>
      </c>
      <c r="N26" s="7">
        <v>530</v>
      </c>
      <c r="O26" s="7">
        <v>59.209000000000003</v>
      </c>
      <c r="P26" s="14">
        <v>442.536</v>
      </c>
      <c r="Q26" s="11">
        <v>3.7909999999999999</v>
      </c>
      <c r="R26" s="11">
        <v>19.463999999999999</v>
      </c>
      <c r="S26" s="7">
        <v>192</v>
      </c>
      <c r="T26" s="12">
        <v>18.577999999999999</v>
      </c>
      <c r="U26" s="13">
        <v>169.494</v>
      </c>
      <c r="V26" s="15">
        <v>0.42199999999999999</v>
      </c>
      <c r="W26" s="16">
        <v>3.5059999999999998</v>
      </c>
      <c r="X26" s="7">
        <v>571</v>
      </c>
      <c r="Y26" s="12">
        <v>90.617000000000004</v>
      </c>
      <c r="Z26" s="17">
        <v>435.39</v>
      </c>
      <c r="AA26" s="11">
        <v>5.383</v>
      </c>
      <c r="AB26" s="11">
        <v>34.61</v>
      </c>
    </row>
    <row r="27" spans="1:28" x14ac:dyDescent="0.25">
      <c r="A27" s="3" t="s">
        <v>24</v>
      </c>
      <c r="B27" s="6">
        <f t="shared" si="0"/>
        <v>-1</v>
      </c>
      <c r="C27" s="6">
        <f t="shared" si="1"/>
        <v>-1</v>
      </c>
      <c r="D27" s="6">
        <f t="shared" si="2"/>
        <v>4</v>
      </c>
      <c r="E27" s="6">
        <f t="shared" si="3"/>
        <v>4</v>
      </c>
      <c r="F27" s="6">
        <f t="shared" si="4"/>
        <v>1</v>
      </c>
      <c r="G27" s="6">
        <f t="shared" si="5"/>
        <v>5</v>
      </c>
      <c r="H27" s="7">
        <v>2062</v>
      </c>
      <c r="I27" s="7">
        <v>772</v>
      </c>
      <c r="J27" s="7">
        <v>91.707999999999998</v>
      </c>
      <c r="K27" s="8">
        <v>619.45100000000002</v>
      </c>
      <c r="L27" s="9">
        <v>6.2919999999999998</v>
      </c>
      <c r="M27" s="10">
        <v>50.548999999999999</v>
      </c>
      <c r="N27" s="7">
        <v>530</v>
      </c>
      <c r="O27" s="7">
        <v>59.02</v>
      </c>
      <c r="P27" s="14">
        <v>441.68799999999999</v>
      </c>
      <c r="Q27" s="11">
        <v>3.98</v>
      </c>
      <c r="R27" s="11">
        <v>21.312000000000001</v>
      </c>
      <c r="S27" s="7">
        <v>191</v>
      </c>
      <c r="T27" s="12">
        <v>17.567</v>
      </c>
      <c r="U27" s="13">
        <v>167.34800000000001</v>
      </c>
      <c r="V27" s="15">
        <v>0.433</v>
      </c>
      <c r="W27" s="16">
        <v>4.6520000000000001</v>
      </c>
      <c r="X27" s="7">
        <v>570</v>
      </c>
      <c r="Y27" s="12">
        <v>88.99</v>
      </c>
      <c r="Z27" s="17">
        <v>428.916</v>
      </c>
      <c r="AA27" s="11">
        <v>6.01</v>
      </c>
      <c r="AB27" s="11">
        <v>41.084000000000003</v>
      </c>
    </row>
    <row r="28" spans="1:28" x14ac:dyDescent="0.25">
      <c r="A28" s="3" t="s">
        <v>25</v>
      </c>
      <c r="B28" s="6">
        <f t="shared" si="0"/>
        <v>0</v>
      </c>
      <c r="C28" s="6">
        <f t="shared" si="1"/>
        <v>0</v>
      </c>
      <c r="D28" s="6">
        <f t="shared" si="2"/>
        <v>5</v>
      </c>
      <c r="E28" s="6">
        <f t="shared" si="3"/>
        <v>4</v>
      </c>
      <c r="F28" s="6">
        <f t="shared" si="4"/>
        <v>0</v>
      </c>
      <c r="G28" s="6">
        <f t="shared" si="5"/>
        <v>5</v>
      </c>
      <c r="H28" s="7">
        <v>2027</v>
      </c>
      <c r="I28" s="7">
        <v>759</v>
      </c>
      <c r="J28" s="7">
        <v>90.134</v>
      </c>
      <c r="K28" s="8">
        <v>601.84900000000005</v>
      </c>
      <c r="L28" s="9">
        <v>6.8659999999999997</v>
      </c>
      <c r="M28" s="10">
        <v>55.151000000000003</v>
      </c>
      <c r="N28" s="7">
        <v>523</v>
      </c>
      <c r="O28" s="7">
        <v>57.642000000000003</v>
      </c>
      <c r="P28" s="14">
        <v>431.95600000000002</v>
      </c>
      <c r="Q28" s="11">
        <v>4.3579999999999997</v>
      </c>
      <c r="R28" s="11">
        <v>25.044</v>
      </c>
      <c r="S28" s="7">
        <v>185</v>
      </c>
      <c r="T28" s="12">
        <v>17.541</v>
      </c>
      <c r="U28" s="13">
        <v>161.499</v>
      </c>
      <c r="V28" s="15">
        <v>0.45900000000000002</v>
      </c>
      <c r="W28" s="16">
        <v>5.5010000000000003</v>
      </c>
      <c r="X28" s="7">
        <v>560</v>
      </c>
      <c r="Y28" s="12">
        <v>88.724000000000004</v>
      </c>
      <c r="Z28" s="17">
        <v>412.57299999999998</v>
      </c>
      <c r="AA28" s="11">
        <v>7.2759999999999998</v>
      </c>
      <c r="AB28" s="11">
        <v>46.427</v>
      </c>
    </row>
    <row r="29" spans="1:28" x14ac:dyDescent="0.25">
      <c r="A29" s="3" t="s">
        <v>26</v>
      </c>
      <c r="B29" s="6">
        <f t="shared" si="0"/>
        <v>0</v>
      </c>
      <c r="C29" s="6">
        <f t="shared" si="1"/>
        <v>0</v>
      </c>
      <c r="D29" s="6">
        <f t="shared" si="2"/>
        <v>4</v>
      </c>
      <c r="E29" s="6">
        <f t="shared" si="3"/>
        <v>4</v>
      </c>
      <c r="F29" s="6">
        <f t="shared" si="4"/>
        <v>1</v>
      </c>
      <c r="G29" s="6">
        <f t="shared" si="5"/>
        <v>4</v>
      </c>
      <c r="H29" s="7">
        <v>2051</v>
      </c>
      <c r="I29" s="7">
        <v>777</v>
      </c>
      <c r="J29" s="7">
        <v>91.391000000000005</v>
      </c>
      <c r="K29" s="8">
        <v>612.27099999999996</v>
      </c>
      <c r="L29" s="9">
        <v>7.609</v>
      </c>
      <c r="M29" s="10">
        <v>61.728999999999999</v>
      </c>
      <c r="N29" s="7">
        <v>527</v>
      </c>
      <c r="O29" s="7">
        <v>58.122999999999998</v>
      </c>
      <c r="P29" s="14">
        <v>429.89699999999999</v>
      </c>
      <c r="Q29" s="11">
        <v>4.8769999999999998</v>
      </c>
      <c r="R29" s="11">
        <v>30.103000000000002</v>
      </c>
      <c r="S29" s="7">
        <v>189</v>
      </c>
      <c r="T29" s="12">
        <v>17.513000000000002</v>
      </c>
      <c r="U29" s="13">
        <v>163.78100000000001</v>
      </c>
      <c r="V29" s="15">
        <v>0.48699999999999999</v>
      </c>
      <c r="W29" s="16">
        <v>6.2190000000000003</v>
      </c>
      <c r="X29" s="7">
        <v>558</v>
      </c>
      <c r="Y29" s="12">
        <v>89.507000000000005</v>
      </c>
      <c r="Z29" s="17">
        <v>404.09899999999999</v>
      </c>
      <c r="AA29" s="11">
        <v>8.4930000000000003</v>
      </c>
      <c r="AB29" s="11">
        <v>51.901000000000003</v>
      </c>
    </row>
    <row r="30" spans="1:28" x14ac:dyDescent="0.25">
      <c r="A30" s="3" t="s">
        <v>27</v>
      </c>
      <c r="B30" s="6">
        <f t="shared" si="0"/>
        <v>1</v>
      </c>
      <c r="C30" s="6">
        <f t="shared" si="1"/>
        <v>1</v>
      </c>
      <c r="D30" s="6">
        <f t="shared" si="2"/>
        <v>4</v>
      </c>
      <c r="E30" s="6">
        <f t="shared" si="3"/>
        <v>5</v>
      </c>
      <c r="F30" s="6">
        <f t="shared" si="4"/>
        <v>1</v>
      </c>
      <c r="G30" s="6">
        <f t="shared" si="5"/>
        <v>4</v>
      </c>
      <c r="H30" s="7">
        <v>2083</v>
      </c>
      <c r="I30" s="7">
        <v>781</v>
      </c>
      <c r="J30" s="7">
        <v>93.650999999999996</v>
      </c>
      <c r="K30" s="8">
        <v>609.69600000000003</v>
      </c>
      <c r="L30" s="9">
        <v>8.3490000000000002</v>
      </c>
      <c r="M30" s="10">
        <v>65.304000000000002</v>
      </c>
      <c r="N30" s="7">
        <v>540</v>
      </c>
      <c r="O30" s="7">
        <v>59.655000000000001</v>
      </c>
      <c r="P30" s="14">
        <v>435.44200000000001</v>
      </c>
      <c r="Q30" s="11">
        <v>5.3449999999999998</v>
      </c>
      <c r="R30" s="11">
        <v>34.558</v>
      </c>
      <c r="S30" s="7">
        <v>191</v>
      </c>
      <c r="T30" s="12">
        <v>17.474</v>
      </c>
      <c r="U30" s="13">
        <v>164.90899999999999</v>
      </c>
      <c r="V30" s="15">
        <v>0.52600000000000002</v>
      </c>
      <c r="W30" s="16">
        <v>7.0910000000000002</v>
      </c>
      <c r="X30" s="7">
        <v>570</v>
      </c>
      <c r="Y30" s="12">
        <v>89.894000000000005</v>
      </c>
      <c r="Z30" s="17">
        <v>412.62799999999999</v>
      </c>
      <c r="AA30" s="11">
        <v>9.1059999999999999</v>
      </c>
      <c r="AB30" s="11">
        <v>54.372</v>
      </c>
    </row>
    <row r="31" spans="1:28" x14ac:dyDescent="0.25">
      <c r="A31" s="3" t="s">
        <v>28</v>
      </c>
      <c r="B31" s="6">
        <f t="shared" si="0"/>
        <v>1</v>
      </c>
      <c r="C31" s="6">
        <f t="shared" si="1"/>
        <v>1</v>
      </c>
      <c r="D31" s="6">
        <f t="shared" si="2"/>
        <v>4</v>
      </c>
      <c r="E31" s="6">
        <f t="shared" si="3"/>
        <v>5</v>
      </c>
      <c r="F31" s="6">
        <f t="shared" si="4"/>
        <v>0</v>
      </c>
      <c r="G31" s="6">
        <f t="shared" si="5"/>
        <v>5</v>
      </c>
      <c r="H31" s="7">
        <v>2109</v>
      </c>
      <c r="I31" s="7">
        <v>780</v>
      </c>
      <c r="J31" s="7">
        <v>93.966999999999999</v>
      </c>
      <c r="K31" s="8">
        <v>608.92899999999997</v>
      </c>
      <c r="L31" s="9">
        <v>9.0329999999999995</v>
      </c>
      <c r="M31" s="10">
        <v>64.070999999999998</v>
      </c>
      <c r="N31" s="7">
        <v>553</v>
      </c>
      <c r="O31" s="7">
        <v>61.26</v>
      </c>
      <c r="P31" s="14">
        <v>443.67899999999997</v>
      </c>
      <c r="Q31" s="11">
        <v>5.74</v>
      </c>
      <c r="R31" s="11">
        <v>37.320999999999998</v>
      </c>
      <c r="S31" s="7">
        <v>192</v>
      </c>
      <c r="T31" s="12">
        <v>18.440000000000001</v>
      </c>
      <c r="U31" s="13">
        <v>165.125</v>
      </c>
      <c r="V31" s="15">
        <v>0.56000000000000005</v>
      </c>
      <c r="W31" s="16">
        <v>7.875</v>
      </c>
      <c r="X31" s="7">
        <v>583</v>
      </c>
      <c r="Y31" s="12">
        <v>92.057999999999993</v>
      </c>
      <c r="Z31" s="17">
        <v>421.49400000000003</v>
      </c>
      <c r="AA31" s="11">
        <v>9.9420000000000002</v>
      </c>
      <c r="AB31" s="11">
        <v>54.506</v>
      </c>
    </row>
    <row r="32" spans="1:28" x14ac:dyDescent="0.25">
      <c r="A32" s="3" t="s">
        <v>29</v>
      </c>
      <c r="B32" s="6">
        <f t="shared" si="0"/>
        <v>-1</v>
      </c>
      <c r="C32" s="6">
        <f t="shared" si="1"/>
        <v>-1</v>
      </c>
      <c r="D32" s="6">
        <f t="shared" si="2"/>
        <v>5</v>
      </c>
      <c r="E32" s="6">
        <f t="shared" si="3"/>
        <v>5</v>
      </c>
      <c r="F32" s="6">
        <f t="shared" si="4"/>
        <v>0</v>
      </c>
      <c r="G32" s="6">
        <f t="shared" si="5"/>
        <v>4.0000000000001137</v>
      </c>
      <c r="H32" s="7">
        <v>2123</v>
      </c>
      <c r="I32" s="7">
        <v>780</v>
      </c>
      <c r="J32" s="7">
        <v>96.51</v>
      </c>
      <c r="K32" s="8">
        <v>602.46500000000003</v>
      </c>
      <c r="L32" s="9">
        <v>9.49</v>
      </c>
      <c r="M32" s="10">
        <v>66.534999999999997</v>
      </c>
      <c r="N32" s="7">
        <v>558</v>
      </c>
      <c r="O32" s="7">
        <v>61.7</v>
      </c>
      <c r="P32" s="14">
        <v>444.20799999999997</v>
      </c>
      <c r="Q32" s="11">
        <v>6.3</v>
      </c>
      <c r="R32" s="11">
        <v>40.792000000000002</v>
      </c>
      <c r="S32" s="7">
        <v>194</v>
      </c>
      <c r="T32" s="12">
        <v>19.376999999999999</v>
      </c>
      <c r="U32" s="13">
        <v>165.727</v>
      </c>
      <c r="V32" s="15">
        <v>0.623</v>
      </c>
      <c r="W32" s="16">
        <v>8.2729999999999997</v>
      </c>
      <c r="X32" s="7">
        <v>592</v>
      </c>
      <c r="Y32" s="12">
        <v>94.44</v>
      </c>
      <c r="Z32" s="17">
        <v>427.69499999999999</v>
      </c>
      <c r="AA32" s="11">
        <v>10.56</v>
      </c>
      <c r="AB32" s="11">
        <v>55.305</v>
      </c>
    </row>
    <row r="33" spans="1:28" x14ac:dyDescent="0.25">
      <c r="A33" s="3" t="s">
        <v>30</v>
      </c>
      <c r="B33" s="6">
        <f t="shared" si="0"/>
        <v>0</v>
      </c>
      <c r="C33" s="6">
        <f t="shared" si="1"/>
        <v>0</v>
      </c>
      <c r="D33" s="6">
        <f t="shared" si="2"/>
        <v>4</v>
      </c>
      <c r="E33" s="6">
        <f t="shared" si="3"/>
        <v>4.9999999999998863</v>
      </c>
      <c r="F33" s="6">
        <f t="shared" si="4"/>
        <v>0</v>
      </c>
      <c r="G33" s="6">
        <f t="shared" si="5"/>
        <v>5</v>
      </c>
      <c r="H33" s="7">
        <v>2138</v>
      </c>
      <c r="I33" s="7">
        <v>780</v>
      </c>
      <c r="J33" s="7">
        <v>97.77</v>
      </c>
      <c r="K33" s="8">
        <v>600.87400000000002</v>
      </c>
      <c r="L33" s="9">
        <v>10.23</v>
      </c>
      <c r="M33" s="10">
        <v>67.126000000000005</v>
      </c>
      <c r="N33" s="7">
        <v>565</v>
      </c>
      <c r="O33" s="7">
        <v>62.447000000000003</v>
      </c>
      <c r="P33" s="14">
        <v>448.42</v>
      </c>
      <c r="Q33" s="11">
        <v>6.5529999999999999</v>
      </c>
      <c r="R33" s="11">
        <v>42.58</v>
      </c>
      <c r="S33" s="7">
        <v>196</v>
      </c>
      <c r="T33" s="12">
        <v>19.352</v>
      </c>
      <c r="U33" s="13">
        <v>167.423</v>
      </c>
      <c r="V33" s="15">
        <v>0.64800000000000002</v>
      </c>
      <c r="W33" s="16">
        <v>8.577</v>
      </c>
      <c r="X33" s="7">
        <v>597</v>
      </c>
      <c r="Y33" s="12">
        <v>94.766000000000005</v>
      </c>
      <c r="Z33" s="17">
        <v>430.11799999999999</v>
      </c>
      <c r="AA33" s="11">
        <v>11.234</v>
      </c>
      <c r="AB33" s="11">
        <v>55.881999999999998</v>
      </c>
    </row>
    <row r="34" spans="1:28" x14ac:dyDescent="0.25">
      <c r="A34" s="3" t="s">
        <v>31</v>
      </c>
      <c r="B34" s="6">
        <f t="shared" si="0"/>
        <v>-1</v>
      </c>
      <c r="C34" s="6">
        <f t="shared" si="1"/>
        <v>-1</v>
      </c>
      <c r="D34" s="6">
        <f t="shared" si="2"/>
        <v>4</v>
      </c>
      <c r="E34" s="6">
        <f t="shared" si="3"/>
        <v>5</v>
      </c>
      <c r="F34" s="6">
        <f t="shared" si="4"/>
        <v>0</v>
      </c>
      <c r="G34" s="6">
        <f t="shared" si="5"/>
        <v>5</v>
      </c>
      <c r="H34" s="7">
        <v>2151</v>
      </c>
      <c r="I34" s="7">
        <v>781</v>
      </c>
      <c r="J34" s="7">
        <v>99.171999999999997</v>
      </c>
      <c r="K34" s="8">
        <v>598.58100000000002</v>
      </c>
      <c r="L34" s="9">
        <v>10.827999999999999</v>
      </c>
      <c r="M34" s="10">
        <v>68.418999999999997</v>
      </c>
      <c r="N34" s="7">
        <v>571</v>
      </c>
      <c r="O34" s="7">
        <v>64.087000000000003</v>
      </c>
      <c r="P34" s="14">
        <v>449.31</v>
      </c>
      <c r="Q34" s="11">
        <v>6.9130000000000003</v>
      </c>
      <c r="R34" s="11">
        <v>45.69</v>
      </c>
      <c r="S34" s="7">
        <v>198</v>
      </c>
      <c r="T34" s="12">
        <v>19.346</v>
      </c>
      <c r="U34" s="13">
        <v>168.959</v>
      </c>
      <c r="V34" s="15">
        <v>0.65400000000000003</v>
      </c>
      <c r="W34" s="16">
        <v>9.0410000000000004</v>
      </c>
      <c r="X34" s="7">
        <v>602</v>
      </c>
      <c r="Y34" s="12">
        <v>96.073000000000008</v>
      </c>
      <c r="Z34" s="17">
        <v>430.86599999999999</v>
      </c>
      <c r="AA34" s="11">
        <v>11.927</v>
      </c>
      <c r="AB34" s="11">
        <v>58.134</v>
      </c>
    </row>
    <row r="35" spans="1:28" x14ac:dyDescent="0.25">
      <c r="A35" s="3" t="s">
        <v>32</v>
      </c>
      <c r="B35" s="6">
        <f t="shared" si="0"/>
        <v>-1</v>
      </c>
      <c r="C35" s="6">
        <f t="shared" si="1"/>
        <v>-1</v>
      </c>
      <c r="D35" s="6">
        <f t="shared" si="2"/>
        <v>4</v>
      </c>
      <c r="E35" s="6">
        <f t="shared" si="3"/>
        <v>5.0000000000001137</v>
      </c>
      <c r="F35" s="6">
        <f t="shared" si="4"/>
        <v>1</v>
      </c>
      <c r="G35" s="6">
        <f t="shared" si="5"/>
        <v>4</v>
      </c>
      <c r="H35" s="7">
        <v>2169</v>
      </c>
      <c r="I35" s="7">
        <v>781</v>
      </c>
      <c r="J35" s="7">
        <v>98.736999999999995</v>
      </c>
      <c r="K35" s="8">
        <v>597.33100000000002</v>
      </c>
      <c r="L35" s="9">
        <v>11.263</v>
      </c>
      <c r="M35" s="10">
        <v>69.668999999999997</v>
      </c>
      <c r="N35" s="7">
        <v>581</v>
      </c>
      <c r="O35" s="7">
        <v>64.739999999999995</v>
      </c>
      <c r="P35" s="14">
        <v>456.79599999999999</v>
      </c>
      <c r="Q35" s="11">
        <v>7.26</v>
      </c>
      <c r="R35" s="11">
        <v>47.204000000000001</v>
      </c>
      <c r="S35" s="7">
        <v>200</v>
      </c>
      <c r="T35" s="12">
        <v>19.356999999999999</v>
      </c>
      <c r="U35" s="13">
        <v>169.75399999999999</v>
      </c>
      <c r="V35" s="15">
        <v>0.64300000000000002</v>
      </c>
      <c r="W35" s="16">
        <v>9.2460000000000004</v>
      </c>
      <c r="X35" s="7">
        <v>608</v>
      </c>
      <c r="Y35" s="12">
        <v>96.623000000000005</v>
      </c>
      <c r="Z35" s="17">
        <v>433.77300000000002</v>
      </c>
      <c r="AA35" s="11">
        <v>12.377000000000001</v>
      </c>
      <c r="AB35" s="11">
        <v>61.226999999999997</v>
      </c>
    </row>
    <row r="36" spans="1:28" x14ac:dyDescent="0.25">
      <c r="A36" s="3" t="s">
        <v>33</v>
      </c>
      <c r="B36" s="6">
        <f t="shared" si="0"/>
        <v>-1</v>
      </c>
      <c r="C36" s="6">
        <f t="shared" si="1"/>
        <v>-1</v>
      </c>
      <c r="D36" s="6">
        <f t="shared" si="2"/>
        <v>5</v>
      </c>
      <c r="E36" s="6">
        <f t="shared" si="3"/>
        <v>5</v>
      </c>
      <c r="F36" s="6">
        <f t="shared" si="4"/>
        <v>1</v>
      </c>
      <c r="G36" s="6">
        <f t="shared" si="5"/>
        <v>4.9999999999998863</v>
      </c>
      <c r="H36" s="7">
        <v>2174</v>
      </c>
      <c r="I36" s="7">
        <v>781</v>
      </c>
      <c r="J36" s="7">
        <v>96.430999999999997</v>
      </c>
      <c r="K36" s="8">
        <v>596.39200000000005</v>
      </c>
      <c r="L36" s="9">
        <v>11.569000000000001</v>
      </c>
      <c r="M36" s="10">
        <v>71.608000000000004</v>
      </c>
      <c r="N36" s="7">
        <v>587</v>
      </c>
      <c r="O36" s="7">
        <v>64.777000000000001</v>
      </c>
      <c r="P36" s="14">
        <v>462.26499999999999</v>
      </c>
      <c r="Q36" s="11">
        <v>7.2229999999999999</v>
      </c>
      <c r="R36" s="11">
        <v>47.734999999999999</v>
      </c>
      <c r="S36" s="7">
        <v>200</v>
      </c>
      <c r="T36" s="12">
        <v>19.350999999999999</v>
      </c>
      <c r="U36" s="13">
        <v>169.86</v>
      </c>
      <c r="V36" s="15">
        <v>0.64900000000000002</v>
      </c>
      <c r="W36" s="16">
        <v>9.14</v>
      </c>
      <c r="X36" s="7">
        <v>607</v>
      </c>
      <c r="Y36" s="12">
        <v>94.358000000000004</v>
      </c>
      <c r="Z36" s="17">
        <v>431.76100000000002</v>
      </c>
      <c r="AA36" s="11">
        <v>12.641999999999999</v>
      </c>
      <c r="AB36" s="11">
        <v>63.238999999999997</v>
      </c>
    </row>
    <row r="37" spans="1:28" x14ac:dyDescent="0.25">
      <c r="A37" s="3" t="s">
        <v>34</v>
      </c>
      <c r="B37" s="6">
        <f t="shared" si="0"/>
        <v>0</v>
      </c>
      <c r="C37" s="6">
        <f t="shared" si="1"/>
        <v>0</v>
      </c>
      <c r="D37" s="6">
        <f t="shared" si="2"/>
        <v>5</v>
      </c>
      <c r="E37" s="6">
        <f t="shared" si="3"/>
        <v>5</v>
      </c>
      <c r="F37" s="6">
        <f t="shared" si="4"/>
        <v>0</v>
      </c>
      <c r="G37" s="6">
        <f t="shared" si="5"/>
        <v>4</v>
      </c>
      <c r="H37" s="7">
        <v>2138</v>
      </c>
      <c r="I37" s="7">
        <v>772</v>
      </c>
      <c r="J37" s="7">
        <v>95.25</v>
      </c>
      <c r="K37" s="8">
        <v>587.98199999999997</v>
      </c>
      <c r="L37" s="9">
        <v>11.75</v>
      </c>
      <c r="M37" s="10">
        <v>72.018000000000001</v>
      </c>
      <c r="N37" s="7">
        <v>593</v>
      </c>
      <c r="O37" s="7">
        <v>64.665000000000006</v>
      </c>
      <c r="P37" s="14">
        <v>466.32799999999997</v>
      </c>
      <c r="Q37" s="11">
        <v>7.335</v>
      </c>
      <c r="R37" s="11">
        <v>49.671999999999997</v>
      </c>
      <c r="S37" s="7">
        <v>197</v>
      </c>
      <c r="T37" s="12">
        <v>19.347000000000001</v>
      </c>
      <c r="U37" s="13">
        <v>168.04</v>
      </c>
      <c r="V37" s="15">
        <v>0.65300000000000002</v>
      </c>
      <c r="W37" s="16">
        <v>8.9600000000000009</v>
      </c>
      <c r="X37" s="7">
        <v>576</v>
      </c>
      <c r="Y37" s="12">
        <v>92.100999999999999</v>
      </c>
      <c r="Z37" s="17">
        <v>405.45100000000002</v>
      </c>
      <c r="AA37" s="11">
        <v>12.898999999999999</v>
      </c>
      <c r="AB37" s="11">
        <v>61.548999999999999</v>
      </c>
    </row>
    <row r="38" spans="1:28" x14ac:dyDescent="0.25">
      <c r="A38" s="3" t="s">
        <v>35</v>
      </c>
      <c r="B38" s="6">
        <f t="shared" si="0"/>
        <v>-1</v>
      </c>
      <c r="C38" s="6">
        <f t="shared" si="1"/>
        <v>-1</v>
      </c>
      <c r="D38" s="6">
        <f t="shared" si="2"/>
        <v>5</v>
      </c>
      <c r="E38" s="6">
        <f t="shared" si="3"/>
        <v>5</v>
      </c>
      <c r="F38" s="6">
        <f t="shared" si="4"/>
        <v>0</v>
      </c>
      <c r="G38" s="6">
        <f t="shared" si="5"/>
        <v>4</v>
      </c>
      <c r="H38" s="7">
        <v>2130</v>
      </c>
      <c r="I38" s="7">
        <v>770</v>
      </c>
      <c r="J38" s="7">
        <v>94.802999999999997</v>
      </c>
      <c r="K38" s="8">
        <v>583.70299999999997</v>
      </c>
      <c r="L38" s="9">
        <v>12.196999999999999</v>
      </c>
      <c r="M38" s="10">
        <v>74.296999999999997</v>
      </c>
      <c r="N38" s="7">
        <v>593</v>
      </c>
      <c r="O38" s="7">
        <v>64.546999999999997</v>
      </c>
      <c r="P38" s="14">
        <v>463.935</v>
      </c>
      <c r="Q38" s="11">
        <v>7.4530000000000003</v>
      </c>
      <c r="R38" s="11">
        <v>52.064999999999998</v>
      </c>
      <c r="S38" s="7">
        <v>197</v>
      </c>
      <c r="T38" s="12">
        <v>19.303999999999998</v>
      </c>
      <c r="U38" s="13">
        <v>167.988</v>
      </c>
      <c r="V38" s="15">
        <v>0.69599999999999995</v>
      </c>
      <c r="W38" s="16">
        <v>9.0120000000000005</v>
      </c>
      <c r="X38" s="7">
        <v>571</v>
      </c>
      <c r="Y38" s="12">
        <v>90.596999999999994</v>
      </c>
      <c r="Z38" s="17">
        <v>399.3</v>
      </c>
      <c r="AA38" s="11">
        <v>13.403</v>
      </c>
      <c r="AB38" s="11">
        <v>63.7</v>
      </c>
    </row>
    <row r="39" spans="1:28" x14ac:dyDescent="0.25">
      <c r="A39" s="3" t="s">
        <v>36</v>
      </c>
      <c r="B39" s="6">
        <f t="shared" si="0"/>
        <v>1</v>
      </c>
      <c r="C39" s="6">
        <f t="shared" si="1"/>
        <v>1</v>
      </c>
      <c r="D39" s="6">
        <f t="shared" si="2"/>
        <v>4</v>
      </c>
      <c r="E39" s="6">
        <f t="shared" si="3"/>
        <v>3.9999999999998863</v>
      </c>
      <c r="F39" s="6">
        <f t="shared" si="4"/>
        <v>0</v>
      </c>
      <c r="G39" s="6">
        <f t="shared" si="5"/>
        <v>4</v>
      </c>
      <c r="H39" s="7">
        <v>2044</v>
      </c>
      <c r="I39" s="19">
        <v>732</v>
      </c>
      <c r="J39" s="7">
        <v>91.596000000000004</v>
      </c>
      <c r="K39" s="8">
        <v>552.78300000000002</v>
      </c>
      <c r="L39" s="9">
        <v>12.404</v>
      </c>
      <c r="M39" s="10">
        <v>71.216999999999999</v>
      </c>
      <c r="N39" s="19">
        <v>579</v>
      </c>
      <c r="O39" s="7">
        <v>64.192000000000007</v>
      </c>
      <c r="P39" s="14">
        <v>450.90100000000001</v>
      </c>
      <c r="Q39" s="11">
        <v>7.8079999999999998</v>
      </c>
      <c r="R39" s="11">
        <v>52.098999999999997</v>
      </c>
      <c r="S39" s="19">
        <v>197</v>
      </c>
      <c r="T39" s="12">
        <v>19.323</v>
      </c>
      <c r="U39" s="13">
        <v>168.321</v>
      </c>
      <c r="V39" s="15">
        <v>0.67700000000000005</v>
      </c>
      <c r="W39" s="16">
        <v>8.6790000000000003</v>
      </c>
      <c r="X39" s="19">
        <v>535</v>
      </c>
      <c r="Y39" s="12">
        <v>86.668999999999997</v>
      </c>
      <c r="Z39" s="17">
        <v>370.197</v>
      </c>
      <c r="AA39" s="11">
        <v>13.331</v>
      </c>
      <c r="AB39" s="11">
        <v>60.802999999999997</v>
      </c>
    </row>
    <row r="40" spans="1:28" x14ac:dyDescent="0.25">
      <c r="A40" s="3" t="s">
        <v>37</v>
      </c>
      <c r="B40" s="6">
        <f t="shared" si="0"/>
        <v>1</v>
      </c>
      <c r="C40" s="6">
        <f t="shared" si="1"/>
        <v>1</v>
      </c>
      <c r="D40" s="6">
        <f t="shared" si="2"/>
        <v>4</v>
      </c>
      <c r="E40" s="6">
        <f t="shared" si="3"/>
        <v>4</v>
      </c>
      <c r="F40" s="6">
        <f t="shared" si="4"/>
        <v>0</v>
      </c>
      <c r="G40" s="6">
        <f t="shared" si="5"/>
        <v>4.0000000000000568</v>
      </c>
      <c r="H40" s="7">
        <v>1986</v>
      </c>
      <c r="I40" s="19">
        <v>711</v>
      </c>
      <c r="J40" s="7">
        <v>91.468000000000004</v>
      </c>
      <c r="K40" s="8">
        <v>535.226</v>
      </c>
      <c r="L40" s="9">
        <v>12.532</v>
      </c>
      <c r="M40" s="10">
        <v>67.774000000000001</v>
      </c>
      <c r="N40" s="19">
        <v>570</v>
      </c>
      <c r="O40" s="7">
        <v>63.018999999999998</v>
      </c>
      <c r="P40" s="14">
        <v>443.59</v>
      </c>
      <c r="Q40" s="11">
        <v>7.9809999999999999</v>
      </c>
      <c r="R40" s="11">
        <v>51.41</v>
      </c>
      <c r="S40" s="19">
        <v>194</v>
      </c>
      <c r="T40" s="12">
        <v>19.315000000000001</v>
      </c>
      <c r="U40" s="13">
        <v>165.68</v>
      </c>
      <c r="V40" s="15">
        <v>0.68500000000000005</v>
      </c>
      <c r="W40" s="16">
        <v>8.32</v>
      </c>
      <c r="X40" s="19">
        <v>510</v>
      </c>
      <c r="Y40" s="12">
        <v>83.676999999999992</v>
      </c>
      <c r="Z40" s="17">
        <v>349.887</v>
      </c>
      <c r="AA40" s="11">
        <v>13.323</v>
      </c>
      <c r="AB40" s="11">
        <v>59.113</v>
      </c>
    </row>
    <row r="41" spans="1:28" x14ac:dyDescent="0.25">
      <c r="A41" s="3" t="s">
        <v>38</v>
      </c>
      <c r="B41" s="6">
        <f t="shared" si="0"/>
        <v>0</v>
      </c>
      <c r="C41" s="6">
        <f t="shared" si="1"/>
        <v>0</v>
      </c>
      <c r="D41" s="6">
        <f t="shared" si="2"/>
        <v>4</v>
      </c>
      <c r="E41" s="6">
        <f t="shared" si="3"/>
        <v>5</v>
      </c>
      <c r="F41" s="6">
        <f t="shared" si="4"/>
        <v>1</v>
      </c>
      <c r="G41" s="6">
        <f t="shared" si="5"/>
        <v>4</v>
      </c>
      <c r="H41" s="7">
        <v>1807</v>
      </c>
      <c r="I41" s="19">
        <v>610</v>
      </c>
      <c r="J41" s="7">
        <v>83.262</v>
      </c>
      <c r="K41" s="8">
        <v>449.30799999999999</v>
      </c>
      <c r="L41" s="9">
        <v>11.738</v>
      </c>
      <c r="M41" s="10">
        <v>61.692</v>
      </c>
      <c r="N41" s="19">
        <v>542</v>
      </c>
      <c r="O41" s="7">
        <v>60.706000000000003</v>
      </c>
      <c r="P41" s="14">
        <v>416.98899999999998</v>
      </c>
      <c r="Q41" s="11">
        <v>8.2940000000000005</v>
      </c>
      <c r="R41" s="11">
        <v>51.011000000000003</v>
      </c>
      <c r="S41" s="19">
        <v>185</v>
      </c>
      <c r="T41" s="12">
        <v>18.350999999999999</v>
      </c>
      <c r="U41" s="13">
        <v>157.125</v>
      </c>
      <c r="V41" s="15">
        <v>0.64900000000000002</v>
      </c>
      <c r="W41" s="16">
        <v>7.875</v>
      </c>
      <c r="X41" s="19">
        <v>470</v>
      </c>
      <c r="Y41" s="12">
        <v>77.317000000000007</v>
      </c>
      <c r="Z41" s="17">
        <v>319.89400000000001</v>
      </c>
      <c r="AA41" s="11">
        <v>12.683</v>
      </c>
      <c r="AB41" s="11">
        <v>56.106000000000002</v>
      </c>
    </row>
    <row r="42" spans="1:28" x14ac:dyDescent="0.25">
      <c r="A42" s="3" t="s">
        <v>39</v>
      </c>
      <c r="B42" s="6">
        <f t="shared" si="0"/>
        <v>1</v>
      </c>
      <c r="C42" s="6">
        <f t="shared" si="1"/>
        <v>1</v>
      </c>
      <c r="D42" s="6">
        <f t="shared" si="2"/>
        <v>4</v>
      </c>
      <c r="E42" s="6">
        <f t="shared" si="3"/>
        <v>5</v>
      </c>
      <c r="F42" s="6">
        <f t="shared" si="4"/>
        <v>0</v>
      </c>
      <c r="G42" s="6">
        <f t="shared" si="5"/>
        <v>4</v>
      </c>
      <c r="H42" s="7">
        <v>1705</v>
      </c>
      <c r="I42" s="19">
        <v>572</v>
      </c>
      <c r="J42" s="7">
        <v>76.86</v>
      </c>
      <c r="K42" s="8">
        <v>419.81200000000001</v>
      </c>
      <c r="L42" s="9">
        <v>11.14</v>
      </c>
      <c r="M42" s="10">
        <v>60.188000000000002</v>
      </c>
      <c r="N42" s="19">
        <v>510</v>
      </c>
      <c r="O42" s="7">
        <v>57.734999999999999</v>
      </c>
      <c r="P42" s="14">
        <v>389.66399999999999</v>
      </c>
      <c r="Q42" s="11">
        <v>8.2650000000000006</v>
      </c>
      <c r="R42" s="11">
        <v>49.335999999999999</v>
      </c>
      <c r="S42" s="19">
        <v>178</v>
      </c>
      <c r="T42" s="12">
        <v>17.361000000000001</v>
      </c>
      <c r="U42" s="13">
        <v>152.79400000000001</v>
      </c>
      <c r="V42" s="15">
        <v>0.63900000000000001</v>
      </c>
      <c r="W42" s="16">
        <v>7.2060000000000004</v>
      </c>
      <c r="X42" s="19">
        <v>444</v>
      </c>
      <c r="Y42" s="12">
        <v>71.748999999999995</v>
      </c>
      <c r="Z42" s="17">
        <v>301.51900000000001</v>
      </c>
      <c r="AA42" s="11">
        <v>12.250999999999999</v>
      </c>
      <c r="AB42" s="11">
        <v>54.481000000000002</v>
      </c>
    </row>
    <row r="43" spans="1:28" x14ac:dyDescent="0.25">
      <c r="A43" s="3" t="s">
        <v>40</v>
      </c>
      <c r="B43" s="6">
        <f t="shared" si="0"/>
        <v>0</v>
      </c>
      <c r="C43" s="6">
        <f t="shared" si="1"/>
        <v>0</v>
      </c>
      <c r="D43" s="6">
        <f t="shared" si="2"/>
        <v>3.4869999999999663</v>
      </c>
      <c r="E43" s="6">
        <f t="shared" si="3"/>
        <v>4</v>
      </c>
      <c r="F43" s="6">
        <f t="shared" si="4"/>
        <v>0</v>
      </c>
      <c r="G43" s="6">
        <f t="shared" si="5"/>
        <v>4</v>
      </c>
      <c r="H43" s="7">
        <v>1610</v>
      </c>
      <c r="I43" s="19">
        <v>541</v>
      </c>
      <c r="J43" s="7">
        <v>74.116</v>
      </c>
      <c r="K43" s="8">
        <v>393.51900000000001</v>
      </c>
      <c r="L43" s="9">
        <v>10.884</v>
      </c>
      <c r="M43" s="10">
        <v>58.994</v>
      </c>
      <c r="N43" s="19">
        <v>469</v>
      </c>
      <c r="O43" s="7">
        <v>54.033999999999999</v>
      </c>
      <c r="P43" s="14">
        <v>355.14100000000002</v>
      </c>
      <c r="Q43" s="11">
        <v>7.9660000000000002</v>
      </c>
      <c r="R43" s="11">
        <v>47.859000000000002</v>
      </c>
      <c r="S43" s="19">
        <v>174</v>
      </c>
      <c r="T43" s="12">
        <v>17.356999999999999</v>
      </c>
      <c r="U43" s="13">
        <v>148.97200000000001</v>
      </c>
      <c r="V43" s="15">
        <v>0.64300000000000002</v>
      </c>
      <c r="W43" s="16">
        <v>7.0279999999999996</v>
      </c>
      <c r="X43" s="19">
        <v>426</v>
      </c>
      <c r="Y43" s="12">
        <v>68.677999999999997</v>
      </c>
      <c r="Z43" s="17">
        <v>287.00799999999998</v>
      </c>
      <c r="AA43" s="11">
        <v>12.321999999999999</v>
      </c>
      <c r="AB43" s="11">
        <v>53.991999999999997</v>
      </c>
    </row>
    <row r="44" spans="1:28" x14ac:dyDescent="0.25">
      <c r="A44" s="3" t="s">
        <v>41</v>
      </c>
      <c r="B44" s="6">
        <f t="shared" si="0"/>
        <v>-1</v>
      </c>
      <c r="C44" s="6">
        <f t="shared" si="1"/>
        <v>-1</v>
      </c>
      <c r="D44" s="6">
        <f t="shared" si="2"/>
        <v>4</v>
      </c>
      <c r="E44" s="6">
        <f t="shared" si="3"/>
        <v>4</v>
      </c>
      <c r="F44" s="6">
        <f t="shared" si="4"/>
        <v>0</v>
      </c>
      <c r="G44" s="6">
        <f t="shared" si="5"/>
        <v>4</v>
      </c>
      <c r="H44" s="7">
        <v>1518</v>
      </c>
      <c r="I44" s="19">
        <v>509</v>
      </c>
      <c r="J44" s="7">
        <v>72.213999999999999</v>
      </c>
      <c r="K44" s="8">
        <v>364.74</v>
      </c>
      <c r="L44" s="9">
        <v>10.786</v>
      </c>
      <c r="M44" s="10">
        <v>57.26</v>
      </c>
      <c r="N44" s="19">
        <v>435</v>
      </c>
      <c r="O44" s="7">
        <v>51.100999999999999</v>
      </c>
      <c r="P44" s="14">
        <v>324.06900000000002</v>
      </c>
      <c r="Q44" s="11">
        <v>7.899</v>
      </c>
      <c r="R44" s="11">
        <v>47.930999999999997</v>
      </c>
      <c r="S44" s="19">
        <v>175</v>
      </c>
      <c r="T44" s="12">
        <v>17.309999999999999</v>
      </c>
      <c r="U44" s="13">
        <v>149.59700000000001</v>
      </c>
      <c r="V44" s="15">
        <v>0.69</v>
      </c>
      <c r="W44" s="16">
        <v>7.4029999999999996</v>
      </c>
      <c r="X44" s="19">
        <v>400</v>
      </c>
      <c r="Y44" s="12">
        <v>65.932000000000002</v>
      </c>
      <c r="Z44" s="17">
        <v>265.92099999999999</v>
      </c>
      <c r="AA44" s="11">
        <v>12.068</v>
      </c>
      <c r="AB44" s="11">
        <v>52.079000000000001</v>
      </c>
    </row>
    <row r="45" spans="1:28" x14ac:dyDescent="0.25">
      <c r="A45" s="3" t="s">
        <v>42</v>
      </c>
      <c r="B45" s="6">
        <f t="shared" si="0"/>
        <v>0</v>
      </c>
      <c r="C45" s="6">
        <f t="shared" si="1"/>
        <v>0</v>
      </c>
      <c r="D45" s="6">
        <f t="shared" si="2"/>
        <v>3.9730000000000132</v>
      </c>
      <c r="E45" s="6">
        <f t="shared" si="3"/>
        <v>4.2100000000000364</v>
      </c>
      <c r="F45" s="6">
        <f t="shared" si="4"/>
        <v>0</v>
      </c>
      <c r="G45" s="6">
        <f t="shared" si="5"/>
        <v>4.0049999999999386</v>
      </c>
      <c r="H45" s="7">
        <v>1471.722</v>
      </c>
      <c r="I45" s="12">
        <v>491.10300000000001</v>
      </c>
      <c r="J45" s="7">
        <v>70.043999999999997</v>
      </c>
      <c r="K45" s="8">
        <v>347.46300000000002</v>
      </c>
      <c r="L45" s="9">
        <v>10.584</v>
      </c>
      <c r="M45" s="10">
        <v>59.039000000000001</v>
      </c>
      <c r="N45" s="12">
        <v>416.73500000000001</v>
      </c>
      <c r="O45" s="7">
        <v>49.651999999999994</v>
      </c>
      <c r="P45" s="14">
        <v>308.18099999999998</v>
      </c>
      <c r="Q45" s="11">
        <v>7.8250000000000002</v>
      </c>
      <c r="R45" s="11">
        <v>46.866999999999997</v>
      </c>
      <c r="S45" s="12">
        <v>174.88300000000001</v>
      </c>
      <c r="T45" s="12">
        <v>17.181000000000001</v>
      </c>
      <c r="U45" s="13">
        <v>149.13800000000001</v>
      </c>
      <c r="V45" s="15">
        <v>0.75</v>
      </c>
      <c r="W45" s="16">
        <v>7.8140000000000001</v>
      </c>
      <c r="X45" s="12">
        <v>389.00099999999998</v>
      </c>
      <c r="Y45" s="12">
        <v>64.341000000000008</v>
      </c>
      <c r="Z45" s="17">
        <v>255.84100000000001</v>
      </c>
      <c r="AA45" s="11">
        <v>12.047000000000001</v>
      </c>
      <c r="AB45" s="11">
        <v>52.767000000000003</v>
      </c>
    </row>
    <row r="46" spans="1:28" x14ac:dyDescent="0.25">
      <c r="A46" s="3" t="s">
        <v>43</v>
      </c>
      <c r="B46" s="6">
        <f t="shared" si="0"/>
        <v>0</v>
      </c>
      <c r="C46" s="6">
        <f t="shared" si="1"/>
        <v>0</v>
      </c>
      <c r="D46" s="6">
        <f t="shared" si="2"/>
        <v>4.0649999999999977</v>
      </c>
      <c r="E46" s="6">
        <f t="shared" si="3"/>
        <v>4.0960000000000605</v>
      </c>
      <c r="F46" s="6">
        <f t="shared" si="4"/>
        <v>0</v>
      </c>
      <c r="G46" s="6">
        <f t="shared" si="5"/>
        <v>4.0289999999999964</v>
      </c>
      <c r="H46" s="7">
        <v>1438.5619999999999</v>
      </c>
      <c r="I46" s="12">
        <v>491.70699999999999</v>
      </c>
      <c r="J46" s="7">
        <v>68.916000000000011</v>
      </c>
      <c r="K46" s="8">
        <v>345.899</v>
      </c>
      <c r="L46" s="9">
        <v>10.388999999999999</v>
      </c>
      <c r="M46" s="10">
        <v>62.438000000000002</v>
      </c>
      <c r="N46" s="12">
        <v>395.56400000000002</v>
      </c>
      <c r="O46" s="7">
        <v>48.405000000000001</v>
      </c>
      <c r="P46" s="14">
        <v>290.48500000000001</v>
      </c>
      <c r="Q46" s="11">
        <v>7.7960000000000003</v>
      </c>
      <c r="R46" s="11">
        <v>44.781999999999996</v>
      </c>
      <c r="S46" s="12">
        <v>173.90600000000001</v>
      </c>
      <c r="T46" s="12">
        <v>17.036999999999999</v>
      </c>
      <c r="U46" s="13">
        <v>147.583</v>
      </c>
      <c r="V46" s="15">
        <v>0.78800000000000003</v>
      </c>
      <c r="W46" s="16">
        <v>8.4979999999999993</v>
      </c>
      <c r="X46" s="12">
        <v>377.38499999999999</v>
      </c>
      <c r="Y46" s="12">
        <v>61.975000000000001</v>
      </c>
      <c r="Z46" s="17">
        <v>245.54599999999999</v>
      </c>
      <c r="AA46" s="11">
        <v>12.007999999999999</v>
      </c>
      <c r="AB46" s="11">
        <v>53.826999999999998</v>
      </c>
    </row>
    <row r="47" spans="1:28" x14ac:dyDescent="0.25">
      <c r="A47" s="3" t="s">
        <v>44</v>
      </c>
      <c r="B47" s="6">
        <f t="shared" si="0"/>
        <v>-0.52999999999997272</v>
      </c>
      <c r="C47" s="6">
        <f t="shared" si="1"/>
        <v>-0.52999999999991587</v>
      </c>
      <c r="D47" s="6">
        <f t="shared" si="2"/>
        <v>4.1439999999999486</v>
      </c>
      <c r="E47" s="6">
        <f t="shared" si="3"/>
        <v>4.2190000000001078</v>
      </c>
      <c r="F47" s="6">
        <f t="shared" si="4"/>
        <v>0</v>
      </c>
      <c r="G47" s="6">
        <f t="shared" si="5"/>
        <v>4.5179999999999723</v>
      </c>
      <c r="H47" s="7">
        <v>1406.78</v>
      </c>
      <c r="I47" s="12">
        <v>483.83</v>
      </c>
      <c r="J47" s="7">
        <v>68.131</v>
      </c>
      <c r="K47" s="8">
        <v>339.77699999999999</v>
      </c>
      <c r="L47" s="9">
        <v>10.367000000000001</v>
      </c>
      <c r="M47" s="10">
        <v>61.411000000000001</v>
      </c>
      <c r="N47" s="7">
        <v>382.33800000000002</v>
      </c>
      <c r="O47" s="7">
        <v>47.222000000000001</v>
      </c>
      <c r="P47" s="14">
        <v>280.20299999999997</v>
      </c>
      <c r="Q47" s="11">
        <v>7.7770000000000001</v>
      </c>
      <c r="R47" s="11">
        <v>42.917000000000002</v>
      </c>
      <c r="S47" s="12">
        <v>173.142</v>
      </c>
      <c r="T47" s="12">
        <v>17.038</v>
      </c>
      <c r="U47" s="13">
        <v>146.322</v>
      </c>
      <c r="V47" s="15">
        <v>0.85399999999999998</v>
      </c>
      <c r="W47" s="16">
        <v>8.9280000000000008</v>
      </c>
      <c r="X47" s="12">
        <v>368</v>
      </c>
      <c r="Y47" s="12">
        <v>59.920999999999992</v>
      </c>
      <c r="Z47" s="17">
        <v>237.39500000000001</v>
      </c>
      <c r="AA47" s="11">
        <v>11.971</v>
      </c>
      <c r="AB47" s="11">
        <v>54.195</v>
      </c>
    </row>
    <row r="48" spans="1:28" x14ac:dyDescent="0.25">
      <c r="A48" s="3" t="s">
        <v>45</v>
      </c>
      <c r="B48" s="6">
        <f t="shared" si="0"/>
        <v>0</v>
      </c>
      <c r="C48" s="6">
        <f t="shared" si="1"/>
        <v>0</v>
      </c>
      <c r="D48" s="6">
        <f t="shared" si="2"/>
        <v>4.1360000000000241</v>
      </c>
      <c r="E48" s="6">
        <f t="shared" si="3"/>
        <v>4.3279999999999745</v>
      </c>
      <c r="F48" s="6">
        <f t="shared" si="4"/>
        <v>0</v>
      </c>
      <c r="G48" s="6">
        <f t="shared" si="5"/>
        <v>4.1030000000000655</v>
      </c>
      <c r="H48" s="7">
        <v>1385.703</v>
      </c>
      <c r="I48" s="12">
        <v>479.42599999999999</v>
      </c>
      <c r="J48" s="7">
        <v>66.63</v>
      </c>
      <c r="K48" s="8">
        <v>336.63199999999995</v>
      </c>
      <c r="L48" s="9">
        <v>10.522</v>
      </c>
      <c r="M48" s="10">
        <v>61.506</v>
      </c>
      <c r="N48" s="7">
        <v>373.04599999999999</v>
      </c>
      <c r="O48" s="7">
        <v>45.838999999999999</v>
      </c>
      <c r="P48" s="14">
        <v>271.25700000000001</v>
      </c>
      <c r="Q48" s="11">
        <v>7.6989999999999998</v>
      </c>
      <c r="R48" s="11">
        <v>43.923000000000002</v>
      </c>
      <c r="S48" s="12">
        <v>172.64099999999999</v>
      </c>
      <c r="T48" s="12">
        <v>17.007999999999999</v>
      </c>
      <c r="U48" s="13">
        <v>145.46899999999999</v>
      </c>
      <c r="V48" s="15">
        <v>0.88900000000000001</v>
      </c>
      <c r="W48" s="16">
        <v>9.2750000000000004</v>
      </c>
      <c r="X48" s="12">
        <v>360.59</v>
      </c>
      <c r="Y48" s="12">
        <v>58.477999999999994</v>
      </c>
      <c r="Z48" s="17">
        <v>231.53599999999997</v>
      </c>
      <c r="AA48" s="11">
        <v>11.84</v>
      </c>
      <c r="AB48" s="11">
        <v>54.633000000000003</v>
      </c>
    </row>
    <row r="49" spans="1:28" x14ac:dyDescent="0.25">
      <c r="A49" s="3" t="s">
        <v>46</v>
      </c>
      <c r="B49" s="6">
        <f t="shared" si="0"/>
        <v>0</v>
      </c>
      <c r="C49" s="6">
        <f t="shared" si="1"/>
        <v>0</v>
      </c>
      <c r="D49" s="6">
        <f t="shared" si="2"/>
        <v>4.0889999999999986</v>
      </c>
      <c r="E49" s="6">
        <f t="shared" si="3"/>
        <v>4.1719999999999686</v>
      </c>
      <c r="F49" s="6">
        <f t="shared" si="4"/>
        <v>0</v>
      </c>
      <c r="G49" s="6">
        <f t="shared" si="5"/>
        <v>4.2749999999999773</v>
      </c>
      <c r="H49" s="7">
        <v>1384.338</v>
      </c>
      <c r="I49" s="12">
        <v>482.17</v>
      </c>
      <c r="J49" s="7">
        <v>65.853000000000009</v>
      </c>
      <c r="K49" s="8">
        <v>338.52499999999998</v>
      </c>
      <c r="L49" s="9">
        <v>10.814</v>
      </c>
      <c r="M49" s="10">
        <v>62.889000000000003</v>
      </c>
      <c r="N49" s="7">
        <v>373.19299999999998</v>
      </c>
      <c r="O49" s="7">
        <v>45.703999999999994</v>
      </c>
      <c r="P49" s="14">
        <v>271.71100000000001</v>
      </c>
      <c r="Q49" s="11">
        <v>7.8460000000000001</v>
      </c>
      <c r="R49" s="11">
        <v>43.76</v>
      </c>
      <c r="S49" s="12">
        <v>173.321</v>
      </c>
      <c r="T49" s="12">
        <v>17.006</v>
      </c>
      <c r="U49" s="13">
        <v>145.85300000000001</v>
      </c>
      <c r="V49" s="15">
        <v>0.93200000000000005</v>
      </c>
      <c r="W49" s="16">
        <v>9.5299999999999994</v>
      </c>
      <c r="X49" s="12">
        <v>355.654</v>
      </c>
      <c r="Y49" s="12">
        <v>57.203999999999994</v>
      </c>
      <c r="Z49" s="17">
        <v>227.345</v>
      </c>
      <c r="AA49" s="11">
        <v>11.819000000000001</v>
      </c>
      <c r="AB49" s="11">
        <v>55.011000000000003</v>
      </c>
    </row>
    <row r="50" spans="1:28" x14ac:dyDescent="0.25">
      <c r="A50" s="3" t="s">
        <v>47</v>
      </c>
      <c r="B50" s="6">
        <f t="shared" si="0"/>
        <v>-1</v>
      </c>
      <c r="C50" s="6">
        <f t="shared" si="1"/>
        <v>-1</v>
      </c>
      <c r="D50" s="6">
        <f t="shared" si="2"/>
        <v>5</v>
      </c>
      <c r="E50" s="6">
        <f t="shared" si="3"/>
        <v>4</v>
      </c>
      <c r="F50" s="6">
        <f t="shared" si="4"/>
        <v>0</v>
      </c>
      <c r="G50" s="6">
        <f t="shared" si="5"/>
        <v>5</v>
      </c>
      <c r="H50" s="7">
        <v>1385</v>
      </c>
      <c r="I50" s="12">
        <v>481</v>
      </c>
      <c r="J50" s="7">
        <v>64.965999999999994</v>
      </c>
      <c r="K50" s="8">
        <v>336.61200000000002</v>
      </c>
      <c r="L50" s="9">
        <v>11.034000000000001</v>
      </c>
      <c r="M50" s="10">
        <v>63.387999999999998</v>
      </c>
      <c r="N50" s="7">
        <v>378</v>
      </c>
      <c r="O50" s="7">
        <v>45.962000000000003</v>
      </c>
      <c r="P50" s="14">
        <v>273.41000000000003</v>
      </c>
      <c r="Q50" s="11">
        <v>8.0380000000000003</v>
      </c>
      <c r="R50" s="11">
        <v>46.59</v>
      </c>
      <c r="S50" s="12">
        <v>173</v>
      </c>
      <c r="T50" s="12">
        <v>17.021000000000001</v>
      </c>
      <c r="U50" s="13">
        <v>145.428</v>
      </c>
      <c r="V50" s="15">
        <v>0.97899999999999998</v>
      </c>
      <c r="W50" s="16">
        <v>9.5719999999999992</v>
      </c>
      <c r="X50" s="12">
        <v>354</v>
      </c>
      <c r="Y50" s="12">
        <v>56.966000000000001</v>
      </c>
      <c r="Z50" s="17">
        <v>224.447</v>
      </c>
      <c r="AA50" s="11">
        <v>12.034000000000001</v>
      </c>
      <c r="AB50" s="11">
        <v>55.552999999999997</v>
      </c>
    </row>
    <row r="51" spans="1:28" x14ac:dyDescent="0.25">
      <c r="A51" s="3" t="s">
        <v>48</v>
      </c>
      <c r="B51" s="6">
        <f t="shared" si="0"/>
        <v>0</v>
      </c>
      <c r="C51" s="6">
        <f t="shared" si="1"/>
        <v>0</v>
      </c>
      <c r="D51" s="6">
        <f t="shared" si="2"/>
        <v>5</v>
      </c>
      <c r="E51" s="6">
        <f t="shared" si="3"/>
        <v>4</v>
      </c>
      <c r="F51" s="6">
        <f t="shared" si="4"/>
        <v>1</v>
      </c>
      <c r="G51" s="6">
        <f t="shared" si="5"/>
        <v>4.0000000000000568</v>
      </c>
      <c r="H51" s="7">
        <v>1414</v>
      </c>
      <c r="I51" s="12">
        <v>487</v>
      </c>
      <c r="J51" s="7">
        <v>66.456999999999994</v>
      </c>
      <c r="K51" s="8">
        <v>340.77800000000002</v>
      </c>
      <c r="L51" s="9">
        <v>11.542999999999999</v>
      </c>
      <c r="M51" s="10">
        <v>63.222000000000001</v>
      </c>
      <c r="N51" s="7">
        <v>385</v>
      </c>
      <c r="O51" s="7">
        <v>46.811</v>
      </c>
      <c r="P51" s="14">
        <v>278.67</v>
      </c>
      <c r="Q51" s="11">
        <v>8.1890000000000001</v>
      </c>
      <c r="R51" s="11">
        <v>47.33</v>
      </c>
      <c r="S51" s="12">
        <v>174</v>
      </c>
      <c r="T51" s="12">
        <v>17.001999999999999</v>
      </c>
      <c r="U51" s="13">
        <v>145.52500000000001</v>
      </c>
      <c r="V51" s="15">
        <v>0.998</v>
      </c>
      <c r="W51" s="16">
        <v>9.4749999999999996</v>
      </c>
      <c r="X51" s="12">
        <v>368</v>
      </c>
      <c r="Y51" s="12">
        <v>59.088000000000001</v>
      </c>
      <c r="Z51" s="17">
        <v>233.40299999999999</v>
      </c>
      <c r="AA51" s="11">
        <v>12.912000000000001</v>
      </c>
      <c r="AB51" s="11">
        <v>58.597000000000001</v>
      </c>
    </row>
    <row r="52" spans="1:28" x14ac:dyDescent="0.25">
      <c r="A52" s="18">
        <v>2003</v>
      </c>
      <c r="B52" s="6">
        <f t="shared" si="0"/>
        <v>0</v>
      </c>
      <c r="C52" s="6">
        <f t="shared" si="1"/>
        <v>0</v>
      </c>
      <c r="D52" s="6">
        <f t="shared" si="2"/>
        <v>4</v>
      </c>
      <c r="E52" s="6">
        <f t="shared" si="3"/>
        <v>4</v>
      </c>
      <c r="F52" s="6">
        <f t="shared" si="4"/>
        <v>0</v>
      </c>
      <c r="G52" s="6">
        <f t="shared" si="5"/>
        <v>4</v>
      </c>
      <c r="H52" s="7">
        <v>1434</v>
      </c>
      <c r="I52" s="12">
        <v>499</v>
      </c>
      <c r="J52" s="7">
        <v>68.018000000000001</v>
      </c>
      <c r="K52" s="8">
        <v>351.505</v>
      </c>
      <c r="L52" s="9">
        <v>11.981999999999999</v>
      </c>
      <c r="M52" s="10">
        <v>63.494999999999997</v>
      </c>
      <c r="N52" s="7">
        <v>382</v>
      </c>
      <c r="O52" s="7">
        <v>46.752000000000002</v>
      </c>
      <c r="P52" s="14">
        <v>275.65800000000002</v>
      </c>
      <c r="Q52" s="11">
        <v>8.2479999999999993</v>
      </c>
      <c r="R52" s="11">
        <v>47.341999999999999</v>
      </c>
      <c r="S52" s="12">
        <v>178</v>
      </c>
      <c r="T52" s="12">
        <v>17.913</v>
      </c>
      <c r="U52" s="13">
        <v>149.423</v>
      </c>
      <c r="V52" s="15">
        <v>1.087</v>
      </c>
      <c r="W52" s="16">
        <v>9.577</v>
      </c>
      <c r="X52" s="12">
        <v>375</v>
      </c>
      <c r="Y52" s="12">
        <v>60.521000000000001</v>
      </c>
      <c r="Z52" s="17">
        <v>236.96699999999998</v>
      </c>
      <c r="AA52" s="11">
        <v>13.478999999999999</v>
      </c>
      <c r="AB52" s="11">
        <v>60.033000000000001</v>
      </c>
    </row>
    <row r="53" spans="1:28" x14ac:dyDescent="0.25">
      <c r="A53" s="18">
        <v>2004</v>
      </c>
      <c r="B53" s="6">
        <f t="shared" si="0"/>
        <v>0</v>
      </c>
      <c r="C53" s="6">
        <f t="shared" si="1"/>
        <v>0</v>
      </c>
      <c r="D53" s="6">
        <f t="shared" si="2"/>
        <v>9.9999999999965894E-2</v>
      </c>
      <c r="E53" s="6">
        <f t="shared" si="3"/>
        <v>9.9999999999909051E-2</v>
      </c>
      <c r="F53" s="6">
        <f t="shared" si="4"/>
        <v>0</v>
      </c>
      <c r="G53" s="6">
        <f t="shared" si="5"/>
        <v>0</v>
      </c>
      <c r="H53" s="20">
        <v>1426.8</v>
      </c>
      <c r="I53" s="21">
        <v>499.5</v>
      </c>
      <c r="J53" s="7">
        <v>68.599999999999994</v>
      </c>
      <c r="K53" s="14">
        <v>357.5</v>
      </c>
      <c r="L53" s="9">
        <v>12.3</v>
      </c>
      <c r="M53" s="10">
        <v>61</v>
      </c>
      <c r="N53" s="20">
        <v>373.2</v>
      </c>
      <c r="O53" s="7">
        <v>46.1</v>
      </c>
      <c r="P53" s="14">
        <v>272.8</v>
      </c>
      <c r="Q53" s="11">
        <v>8.1</v>
      </c>
      <c r="R53" s="10">
        <v>46.1</v>
      </c>
      <c r="S53" s="21">
        <v>177.5</v>
      </c>
      <c r="T53" s="12">
        <v>17.7</v>
      </c>
      <c r="U53" s="13">
        <v>149</v>
      </c>
      <c r="V53" s="15">
        <v>1.1000000000000001</v>
      </c>
      <c r="W53" s="16">
        <v>9.6999999999999993</v>
      </c>
      <c r="X53" s="21">
        <v>376.6</v>
      </c>
      <c r="Y53" s="12">
        <v>60.5</v>
      </c>
      <c r="Z53" s="17">
        <v>242.3</v>
      </c>
      <c r="AA53" s="11">
        <v>13.6</v>
      </c>
      <c r="AB53" s="11">
        <v>60.2</v>
      </c>
    </row>
    <row r="54" spans="1:28" x14ac:dyDescent="0.25">
      <c r="A54" s="6">
        <v>2005</v>
      </c>
      <c r="B54" s="6">
        <f>H54-(I54+N54+S54+X54)</f>
        <v>-0.1999999999998181</v>
      </c>
      <c r="C54" s="6">
        <f>+H54-I54-N54-S54-X54</f>
        <v>-0.20000000000004547</v>
      </c>
      <c r="D54" s="6">
        <f>+I54-SUM(J54:M54)</f>
        <v>0.19999999999998863</v>
      </c>
      <c r="E54" s="6">
        <f>+N54-SUM(O54:R54)</f>
        <v>9.9999999999965894E-2</v>
      </c>
      <c r="F54" s="6">
        <f>+S54-SUM(T54:W54)</f>
        <v>0.30000000000001137</v>
      </c>
      <c r="G54" s="6">
        <f>+X54-SUM(Y54:AB54)</f>
        <v>0.20000000000004547</v>
      </c>
      <c r="H54" s="20">
        <v>1389</v>
      </c>
      <c r="I54" s="21">
        <v>492.7</v>
      </c>
      <c r="J54" s="7">
        <v>69.099999999999994</v>
      </c>
      <c r="K54" s="8">
        <v>353.1</v>
      </c>
      <c r="L54" s="9">
        <v>12.4</v>
      </c>
      <c r="M54" s="10">
        <v>57.9</v>
      </c>
      <c r="N54" s="20">
        <v>362.9</v>
      </c>
      <c r="O54" s="7">
        <v>45</v>
      </c>
      <c r="P54" s="14">
        <v>265.5</v>
      </c>
      <c r="Q54" s="11">
        <v>7.8</v>
      </c>
      <c r="R54" s="10">
        <v>44.5</v>
      </c>
      <c r="S54" s="21">
        <v>180</v>
      </c>
      <c r="T54" s="12">
        <v>17.7</v>
      </c>
      <c r="U54" s="13">
        <v>151.19999999999999</v>
      </c>
      <c r="V54" s="15">
        <v>1</v>
      </c>
      <c r="W54" s="16">
        <v>9.8000000000000007</v>
      </c>
      <c r="X54" s="21">
        <v>353.6</v>
      </c>
      <c r="Y54" s="12">
        <v>59.7</v>
      </c>
      <c r="Z54" s="17">
        <v>224.7</v>
      </c>
      <c r="AA54" s="11">
        <v>13.4</v>
      </c>
      <c r="AB54" s="11">
        <v>55.6</v>
      </c>
    </row>
    <row r="55" spans="1:28" x14ac:dyDescent="0.25">
      <c r="A55" s="18">
        <v>2006</v>
      </c>
      <c r="B55" s="6">
        <f>H55-(I55+N55+S55+X55)</f>
        <v>1</v>
      </c>
      <c r="C55" s="6">
        <f>+H55-I55-N55-S55-X55</f>
        <v>1</v>
      </c>
      <c r="D55" s="6">
        <f>+I55-SUM(J55:M55)</f>
        <v>0</v>
      </c>
      <c r="E55" s="6">
        <f>+N55-SUM(O55:R55)</f>
        <v>0.19999999999998863</v>
      </c>
      <c r="F55" s="6">
        <f>+S55-SUM(T55:W55)</f>
        <v>-9.9999999999994316E-2</v>
      </c>
      <c r="G55" s="6">
        <f>+X55-SUM(Y55:AB55)</f>
        <v>-0.60000000000002274</v>
      </c>
      <c r="H55" s="20">
        <v>1385</v>
      </c>
      <c r="I55" s="3">
        <v>505</v>
      </c>
      <c r="J55" s="19">
        <v>69</v>
      </c>
      <c r="K55" s="36">
        <v>365</v>
      </c>
      <c r="L55" s="3">
        <v>12.5</v>
      </c>
      <c r="M55" s="23">
        <v>58.5</v>
      </c>
      <c r="N55" s="37">
        <v>350</v>
      </c>
      <c r="O55" s="3">
        <v>44</v>
      </c>
      <c r="P55" s="36">
        <v>255</v>
      </c>
      <c r="Q55" s="3">
        <v>7.6</v>
      </c>
      <c r="R55" s="3">
        <v>43.2</v>
      </c>
      <c r="S55" s="37">
        <v>180</v>
      </c>
      <c r="T55" s="3">
        <v>18</v>
      </c>
      <c r="U55" s="3">
        <v>151</v>
      </c>
      <c r="V55" s="19">
        <v>1.1000000000000001</v>
      </c>
      <c r="W55" s="16">
        <v>10</v>
      </c>
      <c r="X55" s="3">
        <v>349</v>
      </c>
      <c r="Y55" s="19">
        <v>58</v>
      </c>
      <c r="Z55" s="36">
        <v>223</v>
      </c>
      <c r="AA55" s="3">
        <v>12.8</v>
      </c>
      <c r="AB55" s="3">
        <v>55.8</v>
      </c>
    </row>
    <row r="56" spans="1:28" x14ac:dyDescent="0.25">
      <c r="A56" s="18">
        <v>2007</v>
      </c>
      <c r="B56" s="6">
        <f>H56-(I56+N56+S56+X56)</f>
        <v>1</v>
      </c>
      <c r="C56" s="6">
        <f>+H56-I56-N56-S56-X56</f>
        <v>1</v>
      </c>
      <c r="D56" s="6">
        <f>+I56-SUM(J56:M56)</f>
        <v>0.20000000000004547</v>
      </c>
      <c r="E56" s="6">
        <f>+N56-SUM(O56:R56)</f>
        <v>0.19999999999998863</v>
      </c>
      <c r="F56" s="6">
        <f>+S56-SUM(T56:W56)</f>
        <v>0.40000000000000568</v>
      </c>
      <c r="G56" s="6">
        <f>+X56-SUM(Y56:AB56)</f>
        <v>-0.19999999999998863</v>
      </c>
      <c r="H56" s="20">
        <v>1380</v>
      </c>
      <c r="I56" s="37">
        <v>522</v>
      </c>
      <c r="J56" s="19">
        <v>71</v>
      </c>
      <c r="K56" s="36">
        <v>379</v>
      </c>
      <c r="L56" s="15">
        <v>13</v>
      </c>
      <c r="M56" s="16">
        <v>58.8</v>
      </c>
      <c r="N56" s="37">
        <v>338</v>
      </c>
      <c r="O56" s="19">
        <v>44</v>
      </c>
      <c r="P56" s="36">
        <v>244</v>
      </c>
      <c r="Q56" s="3">
        <v>7.6</v>
      </c>
      <c r="R56" s="36">
        <v>42.2</v>
      </c>
      <c r="S56" s="37">
        <v>186</v>
      </c>
      <c r="T56" s="19">
        <v>18</v>
      </c>
      <c r="U56" s="36">
        <v>156</v>
      </c>
      <c r="V56" s="19">
        <v>1.1000000000000001</v>
      </c>
      <c r="W56" s="16">
        <v>10.5</v>
      </c>
      <c r="X56" s="37">
        <v>333</v>
      </c>
      <c r="Y56" s="19">
        <v>54</v>
      </c>
      <c r="Z56" s="36">
        <v>214</v>
      </c>
      <c r="AA56" s="19">
        <v>11.8</v>
      </c>
      <c r="AB56" s="3">
        <v>53.4</v>
      </c>
    </row>
    <row r="57" spans="1:28" x14ac:dyDescent="0.25">
      <c r="A57" s="30">
        <v>2008</v>
      </c>
      <c r="B57" s="6">
        <f>H57-(I57+N57+S57+X57)</f>
        <v>0</v>
      </c>
      <c r="C57" s="6">
        <f>+H57-I57-N57-S57-X57</f>
        <v>0</v>
      </c>
      <c r="D57" s="6">
        <f>+I57-SUM(J57:M57)</f>
        <v>4.7999999999999545</v>
      </c>
      <c r="E57" s="6">
        <f>+N57-SUM(O57:R57)</f>
        <v>3.9000000000000341</v>
      </c>
      <c r="F57" s="6">
        <f>+S57-SUM(T57:W57)</f>
        <v>0.70000000000001705</v>
      </c>
      <c r="G57" s="6">
        <f>+X57-SUM(Y57:AB57)</f>
        <v>3.7000000000000455</v>
      </c>
      <c r="H57" s="31">
        <v>1402</v>
      </c>
      <c r="I57" s="34">
        <v>544</v>
      </c>
      <c r="J57" s="25">
        <v>74</v>
      </c>
      <c r="K57" s="25">
        <v>392</v>
      </c>
      <c r="L57" s="38">
        <v>13.5</v>
      </c>
      <c r="M57" s="35">
        <v>59.7</v>
      </c>
      <c r="N57" s="25">
        <v>332</v>
      </c>
      <c r="O57" s="32">
        <v>44</v>
      </c>
      <c r="P57" s="33">
        <v>235</v>
      </c>
      <c r="Q57" s="25">
        <v>7.7</v>
      </c>
      <c r="R57" s="25">
        <v>41.4</v>
      </c>
      <c r="S57" s="34">
        <v>199</v>
      </c>
      <c r="T57" s="25">
        <v>19</v>
      </c>
      <c r="U57" s="25">
        <v>167</v>
      </c>
      <c r="V57" s="32">
        <v>1.2</v>
      </c>
      <c r="W57" s="35">
        <v>11.1</v>
      </c>
      <c r="X57" s="25">
        <v>327</v>
      </c>
      <c r="Y57" s="32">
        <v>53</v>
      </c>
      <c r="Z57" s="33">
        <v>207</v>
      </c>
      <c r="AA57" s="25">
        <v>11.9</v>
      </c>
      <c r="AB57" s="25">
        <v>51.4</v>
      </c>
    </row>
    <row r="58" spans="1:28" x14ac:dyDescent="0.25">
      <c r="A58" s="22"/>
    </row>
    <row r="59" spans="1:28" x14ac:dyDescent="0.25">
      <c r="A59" s="3" t="s">
        <v>76</v>
      </c>
      <c r="B59" s="3" t="s">
        <v>57</v>
      </c>
      <c r="K59" s="13"/>
      <c r="L59" s="13"/>
      <c r="Y59" s="13"/>
      <c r="Z59" s="13"/>
    </row>
    <row r="60" spans="1:28" x14ac:dyDescent="0.25">
      <c r="A60" s="3" t="s">
        <v>85</v>
      </c>
      <c r="B60" s="3" t="s">
        <v>54</v>
      </c>
      <c r="K60" s="13"/>
      <c r="L60" s="13"/>
      <c r="Y60" s="13"/>
      <c r="Z60" s="13"/>
    </row>
    <row r="61" spans="1:28" x14ac:dyDescent="0.25">
      <c r="J61" s="13"/>
      <c r="K61" s="13"/>
      <c r="Y61" s="13"/>
      <c r="Z61" s="13"/>
    </row>
    <row r="62" spans="1:28" x14ac:dyDescent="0.25">
      <c r="J62" s="13"/>
      <c r="K62" s="13"/>
      <c r="Y62" s="13"/>
      <c r="Z62" s="13"/>
    </row>
    <row r="63" spans="1:28" x14ac:dyDescent="0.25">
      <c r="J63" s="13"/>
      <c r="K63" s="13"/>
      <c r="Y63" s="13"/>
      <c r="Z63" s="13"/>
    </row>
    <row r="64" spans="1:28" s="18" customFormat="1" x14ac:dyDescent="0.25">
      <c r="A64" s="3"/>
    </row>
    <row r="65" spans="1:253" s="18" customFormat="1" x14ac:dyDescent="0.2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</row>
    <row r="66" spans="1:253" s="18" customFormat="1" x14ac:dyDescent="0.25"/>
    <row r="67" spans="1:253" s="18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</row>
    <row r="68" spans="1:253" s="18" customFormat="1" x14ac:dyDescent="0.25"/>
    <row r="69" spans="1:253" s="18" customForma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</row>
    <row r="70" spans="1:253" x14ac:dyDescent="0.25">
      <c r="A70" s="18"/>
      <c r="V70" s="23"/>
    </row>
    <row r="71" spans="1:253" x14ac:dyDescent="0.25">
      <c r="A71" s="2"/>
      <c r="J71" s="13"/>
      <c r="K71" s="13"/>
      <c r="Y71" s="13"/>
      <c r="Z71" s="13"/>
    </row>
    <row r="73" spans="1:253" x14ac:dyDescent="0.25">
      <c r="J73" s="13"/>
      <c r="K73" s="13"/>
      <c r="Y73" s="13"/>
      <c r="Z73" s="13"/>
    </row>
    <row r="74" spans="1:253" x14ac:dyDescent="0.25">
      <c r="J74" s="13"/>
      <c r="K74" s="13"/>
      <c r="Y74" s="13"/>
      <c r="Z74" s="13"/>
    </row>
    <row r="75" spans="1:253" x14ac:dyDescent="0.25">
      <c r="J75" s="13"/>
      <c r="K75" s="13"/>
      <c r="Y75" s="13"/>
      <c r="Z75" s="13"/>
    </row>
    <row r="76" spans="1:253" x14ac:dyDescent="0.25">
      <c r="J76" s="6"/>
      <c r="K76" s="13"/>
      <c r="Y76" s="13"/>
      <c r="Z76" s="13"/>
    </row>
    <row r="77" spans="1:253" x14ac:dyDescent="0.25">
      <c r="J77" s="13"/>
      <c r="K77" s="13"/>
      <c r="Y77" s="13"/>
      <c r="Z77" s="13"/>
    </row>
    <row r="78" spans="1:253" x14ac:dyDescent="0.25">
      <c r="J78" s="13"/>
      <c r="K78" s="13"/>
      <c r="Y78" s="13"/>
      <c r="Z78" s="13"/>
    </row>
    <row r="79" spans="1:253" x14ac:dyDescent="0.25">
      <c r="J79" s="13"/>
      <c r="K79" s="13"/>
      <c r="Y79" s="13"/>
      <c r="Z79" s="13"/>
    </row>
    <row r="80" spans="1:253" x14ac:dyDescent="0.25">
      <c r="J80" s="13"/>
      <c r="K80" s="13"/>
      <c r="Y80" s="13"/>
      <c r="Z80" s="13"/>
    </row>
    <row r="81" spans="10:26" x14ac:dyDescent="0.25">
      <c r="J81" s="13"/>
      <c r="K81" s="13"/>
      <c r="Y81" s="13"/>
      <c r="Z81" s="13"/>
    </row>
    <row r="82" spans="10:26" x14ac:dyDescent="0.25">
      <c r="J82" s="13"/>
      <c r="K82" s="13"/>
      <c r="Y82" s="13"/>
      <c r="Z82" s="13"/>
    </row>
    <row r="83" spans="10:26" x14ac:dyDescent="0.25">
      <c r="J83" s="13"/>
      <c r="K83" s="13"/>
      <c r="Y83" s="13"/>
      <c r="Z83" s="13"/>
    </row>
    <row r="84" spans="10:26" x14ac:dyDescent="0.25">
      <c r="J84" s="13"/>
      <c r="K84" s="13"/>
      <c r="Y84" s="13"/>
      <c r="Z84" s="13"/>
    </row>
    <row r="85" spans="10:26" x14ac:dyDescent="0.25">
      <c r="J85" s="13"/>
      <c r="K85" s="13"/>
      <c r="Y85" s="13"/>
      <c r="Z85" s="13"/>
    </row>
    <row r="86" spans="10:26" x14ac:dyDescent="0.25">
      <c r="J86" s="13"/>
      <c r="K86" s="13"/>
      <c r="Y86" s="13"/>
      <c r="Z86" s="13"/>
    </row>
    <row r="87" spans="10:26" x14ac:dyDescent="0.25">
      <c r="J87" s="13"/>
      <c r="K87" s="13"/>
      <c r="Y87" s="13"/>
      <c r="Z87" s="13"/>
    </row>
    <row r="88" spans="10:26" x14ac:dyDescent="0.25">
      <c r="J88" s="13"/>
      <c r="K88" s="13"/>
      <c r="Y88" s="13"/>
      <c r="Z88" s="13"/>
    </row>
    <row r="89" spans="10:26" x14ac:dyDescent="0.25">
      <c r="J89" s="13"/>
      <c r="K89" s="13"/>
      <c r="Y89" s="13"/>
      <c r="Z89" s="13"/>
    </row>
    <row r="90" spans="10:26" x14ac:dyDescent="0.25">
      <c r="J90" s="13"/>
      <c r="K90" s="13"/>
      <c r="Y90" s="13"/>
      <c r="Z90" s="13"/>
    </row>
    <row r="91" spans="10:26" x14ac:dyDescent="0.25">
      <c r="J91" s="13"/>
      <c r="K91" s="13"/>
      <c r="Y91" s="13"/>
      <c r="Z91" s="13"/>
    </row>
    <row r="92" spans="10:26" x14ac:dyDescent="0.25">
      <c r="J92" s="13"/>
      <c r="K92" s="13"/>
      <c r="Y92" s="13"/>
      <c r="Z92" s="13"/>
    </row>
    <row r="93" spans="10:26" x14ac:dyDescent="0.25">
      <c r="J93" s="13"/>
      <c r="K93" s="13"/>
      <c r="Y93" s="13"/>
      <c r="Z93" s="13"/>
    </row>
    <row r="94" spans="10:26" x14ac:dyDescent="0.25">
      <c r="J94" s="13"/>
      <c r="K94" s="13"/>
      <c r="Y94" s="13"/>
      <c r="Z94" s="13"/>
    </row>
    <row r="95" spans="10:26" x14ac:dyDescent="0.25">
      <c r="J95" s="13"/>
      <c r="K95" s="13"/>
      <c r="Y95" s="13"/>
      <c r="Z95" s="13"/>
    </row>
    <row r="96" spans="10:26" x14ac:dyDescent="0.25">
      <c r="J96" s="13"/>
      <c r="K96" s="13"/>
      <c r="Y96" s="13"/>
      <c r="Z96" s="13"/>
    </row>
    <row r="97" spans="10:26" x14ac:dyDescent="0.25">
      <c r="J97" s="13"/>
      <c r="K97" s="13"/>
      <c r="Y97" s="13"/>
      <c r="Z97" s="13"/>
    </row>
    <row r="98" spans="10:26" x14ac:dyDescent="0.25">
      <c r="J98" s="13"/>
      <c r="K98" s="13"/>
      <c r="Y98" s="13"/>
      <c r="Z98" s="13"/>
    </row>
    <row r="99" spans="10:26" x14ac:dyDescent="0.25">
      <c r="J99" s="13"/>
      <c r="K99" s="13"/>
      <c r="Y99" s="13"/>
      <c r="Z99" s="13"/>
    </row>
  </sheetData>
  <mergeCells count="14">
    <mergeCell ref="S5:W6"/>
    <mergeCell ref="X5:AB6"/>
    <mergeCell ref="Y7:Z7"/>
    <mergeCell ref="AA7:AB7"/>
    <mergeCell ref="T7:U7"/>
    <mergeCell ref="V7:W7"/>
    <mergeCell ref="A5:A8"/>
    <mergeCell ref="H5:H8"/>
    <mergeCell ref="O7:P7"/>
    <mergeCell ref="Q7:R7"/>
    <mergeCell ref="J7:K7"/>
    <mergeCell ref="L7:M7"/>
    <mergeCell ref="I5:M6"/>
    <mergeCell ref="N5:R6"/>
  </mergeCells>
  <phoneticPr fontId="0" type="noConversion"/>
  <hyperlinks>
    <hyperlink ref="A3" location="Notes!A1" display="See notes." xr:uid="{5CC61F71-E4B0-4143-BEC0-E596728FB90E}"/>
  </hyperlinks>
  <pageMargins left="0.5" right="0.5" top="0.5" bottom="0.5" header="0.5" footer="0.5"/>
  <pageSetup paperSize="17" scale="65" orientation="landscape"/>
  <headerFooter alignWithMargins="0"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30DA-BF8B-CC41-B5A7-FCF4D704627F}">
  <dimension ref="A1:E50"/>
  <sheetViews>
    <sheetView workbookViewId="0"/>
  </sheetViews>
  <sheetFormatPr baseColWidth="10" defaultRowHeight="17" x14ac:dyDescent="0.25"/>
  <cols>
    <col min="4" max="4" width="15" customWidth="1"/>
    <col min="5" max="5" width="13" customWidth="1"/>
  </cols>
  <sheetData>
    <row r="1" spans="1:5" ht="18" x14ac:dyDescent="0.25">
      <c r="A1" s="46" t="s">
        <v>3</v>
      </c>
      <c r="B1" s="43" t="s">
        <v>1</v>
      </c>
      <c r="C1" s="43" t="s">
        <v>86</v>
      </c>
      <c r="D1" s="43" t="s">
        <v>60</v>
      </c>
      <c r="E1" s="43" t="s">
        <v>2</v>
      </c>
    </row>
    <row r="2" spans="1:5" x14ac:dyDescent="0.25">
      <c r="A2" s="3" t="s">
        <v>6</v>
      </c>
      <c r="B2" s="7">
        <v>873</v>
      </c>
      <c r="C2" s="7">
        <v>617</v>
      </c>
      <c r="D2" s="7">
        <v>171</v>
      </c>
      <c r="E2" s="7">
        <v>815</v>
      </c>
    </row>
    <row r="3" spans="1:5" x14ac:dyDescent="0.25">
      <c r="A3" s="3" t="s">
        <v>7</v>
      </c>
      <c r="B3" s="7">
        <v>859</v>
      </c>
      <c r="C3" s="7">
        <v>626</v>
      </c>
      <c r="D3" s="7">
        <v>177</v>
      </c>
      <c r="E3" s="7">
        <v>821</v>
      </c>
    </row>
    <row r="4" spans="1:5" x14ac:dyDescent="0.25">
      <c r="A4" s="3" t="s">
        <v>8</v>
      </c>
      <c r="B4" s="7">
        <v>1066</v>
      </c>
      <c r="C4" s="7">
        <v>664</v>
      </c>
      <c r="D4" s="7">
        <v>191</v>
      </c>
      <c r="E4" s="7">
        <v>884</v>
      </c>
    </row>
    <row r="5" spans="1:5" x14ac:dyDescent="0.25">
      <c r="A5" s="3" t="s">
        <v>9</v>
      </c>
      <c r="B5" s="7">
        <v>976</v>
      </c>
      <c r="C5" s="7">
        <v>664</v>
      </c>
      <c r="D5" s="7">
        <v>190</v>
      </c>
      <c r="E5" s="7">
        <v>869</v>
      </c>
    </row>
    <row r="6" spans="1:5" x14ac:dyDescent="0.25">
      <c r="A6" s="3" t="s">
        <v>10</v>
      </c>
      <c r="B6" s="7">
        <v>973</v>
      </c>
      <c r="C6" s="7">
        <v>666</v>
      </c>
      <c r="D6" s="7">
        <v>190</v>
      </c>
      <c r="E6" s="7">
        <v>857</v>
      </c>
    </row>
    <row r="7" spans="1:5" x14ac:dyDescent="0.25">
      <c r="A7" s="3" t="s">
        <v>11</v>
      </c>
      <c r="B7" s="7">
        <v>969</v>
      </c>
      <c r="C7" s="7">
        <v>670</v>
      </c>
      <c r="D7" s="7">
        <v>190</v>
      </c>
      <c r="E7" s="7">
        <v>825</v>
      </c>
    </row>
    <row r="8" spans="1:5" x14ac:dyDescent="0.25">
      <c r="A8" s="3" t="s">
        <v>12</v>
      </c>
      <c r="B8" s="7">
        <v>1200</v>
      </c>
      <c r="C8" s="7">
        <v>743</v>
      </c>
      <c r="D8" s="7">
        <v>262</v>
      </c>
      <c r="E8" s="7">
        <v>887</v>
      </c>
    </row>
    <row r="9" spans="1:5" x14ac:dyDescent="0.25">
      <c r="A9" s="3" t="s">
        <v>13</v>
      </c>
      <c r="B9" s="7">
        <v>1442</v>
      </c>
      <c r="C9" s="7">
        <v>750</v>
      </c>
      <c r="D9" s="7">
        <v>285</v>
      </c>
      <c r="E9" s="7">
        <v>897</v>
      </c>
    </row>
    <row r="10" spans="1:5" x14ac:dyDescent="0.25">
      <c r="A10" s="3" t="s">
        <v>14</v>
      </c>
      <c r="B10" s="7">
        <v>1570</v>
      </c>
      <c r="C10" s="7">
        <v>764</v>
      </c>
      <c r="D10" s="7">
        <v>307</v>
      </c>
      <c r="E10" s="7">
        <v>905</v>
      </c>
    </row>
    <row r="11" spans="1:5" x14ac:dyDescent="0.25">
      <c r="A11" s="3" t="s">
        <v>15</v>
      </c>
      <c r="B11" s="7">
        <v>1512</v>
      </c>
      <c r="C11" s="7">
        <v>774</v>
      </c>
      <c r="D11" s="7">
        <v>310</v>
      </c>
      <c r="E11" s="7">
        <v>862</v>
      </c>
    </row>
    <row r="12" spans="1:5" x14ac:dyDescent="0.25">
      <c r="A12" s="3" t="s">
        <v>16</v>
      </c>
      <c r="B12" s="7">
        <v>1323</v>
      </c>
      <c r="C12" s="7">
        <v>691</v>
      </c>
      <c r="D12" s="7">
        <v>260</v>
      </c>
      <c r="E12" s="7">
        <v>791</v>
      </c>
    </row>
    <row r="13" spans="1:5" x14ac:dyDescent="0.25">
      <c r="A13" s="3" t="s">
        <v>17</v>
      </c>
      <c r="B13" s="7">
        <v>1124</v>
      </c>
      <c r="C13" s="7">
        <v>622</v>
      </c>
      <c r="D13" s="7">
        <v>212</v>
      </c>
      <c r="E13" s="7">
        <v>755</v>
      </c>
    </row>
    <row r="14" spans="1:5" x14ac:dyDescent="0.25">
      <c r="A14" s="3" t="s">
        <v>18</v>
      </c>
      <c r="B14" s="7">
        <v>811</v>
      </c>
      <c r="C14" s="7">
        <v>587</v>
      </c>
      <c r="D14" s="7">
        <v>198</v>
      </c>
      <c r="E14" s="7">
        <v>726</v>
      </c>
    </row>
    <row r="15" spans="1:5" x14ac:dyDescent="0.25">
      <c r="A15" s="3" t="s">
        <v>19</v>
      </c>
      <c r="B15" s="7">
        <v>801</v>
      </c>
      <c r="C15" s="7">
        <v>564</v>
      </c>
      <c r="D15" s="7">
        <v>196</v>
      </c>
      <c r="E15" s="7">
        <v>691</v>
      </c>
    </row>
    <row r="16" spans="1:5" x14ac:dyDescent="0.25">
      <c r="A16" s="3" t="s">
        <v>20</v>
      </c>
      <c r="B16" s="7">
        <v>783</v>
      </c>
      <c r="C16" s="7">
        <v>546</v>
      </c>
      <c r="D16" s="7">
        <v>189</v>
      </c>
      <c r="E16" s="7">
        <v>644</v>
      </c>
    </row>
    <row r="17" spans="1:5" x14ac:dyDescent="0.25">
      <c r="A17" s="3" t="s">
        <v>21</v>
      </c>
      <c r="B17" s="7">
        <v>784</v>
      </c>
      <c r="C17" s="7">
        <v>535</v>
      </c>
      <c r="D17" s="7">
        <v>196</v>
      </c>
      <c r="E17" s="7">
        <v>613</v>
      </c>
    </row>
    <row r="18" spans="1:5" x14ac:dyDescent="0.25">
      <c r="A18" s="3" t="s">
        <v>22</v>
      </c>
      <c r="B18" s="7">
        <v>779</v>
      </c>
      <c r="C18" s="7">
        <v>525</v>
      </c>
      <c r="D18" s="7">
        <v>192</v>
      </c>
      <c r="E18" s="7">
        <v>585</v>
      </c>
    </row>
    <row r="19" spans="1:5" x14ac:dyDescent="0.25">
      <c r="A19" s="3" t="s">
        <v>23</v>
      </c>
      <c r="B19" s="7">
        <v>782</v>
      </c>
      <c r="C19" s="7">
        <v>530</v>
      </c>
      <c r="D19" s="7">
        <v>192</v>
      </c>
      <c r="E19" s="7">
        <v>571</v>
      </c>
    </row>
    <row r="20" spans="1:5" x14ac:dyDescent="0.25">
      <c r="A20" s="3" t="s">
        <v>24</v>
      </c>
      <c r="B20" s="7">
        <v>772</v>
      </c>
      <c r="C20" s="7">
        <v>530</v>
      </c>
      <c r="D20" s="7">
        <v>191</v>
      </c>
      <c r="E20" s="7">
        <v>570</v>
      </c>
    </row>
    <row r="21" spans="1:5" x14ac:dyDescent="0.25">
      <c r="A21" s="3" t="s">
        <v>25</v>
      </c>
      <c r="B21" s="7">
        <v>759</v>
      </c>
      <c r="C21" s="7">
        <v>523</v>
      </c>
      <c r="D21" s="7">
        <v>185</v>
      </c>
      <c r="E21" s="7">
        <v>560</v>
      </c>
    </row>
    <row r="22" spans="1:5" x14ac:dyDescent="0.25">
      <c r="A22" s="3" t="s">
        <v>26</v>
      </c>
      <c r="B22" s="7">
        <v>777</v>
      </c>
      <c r="C22" s="7">
        <v>527</v>
      </c>
      <c r="D22" s="7">
        <v>189</v>
      </c>
      <c r="E22" s="7">
        <v>558</v>
      </c>
    </row>
    <row r="23" spans="1:5" x14ac:dyDescent="0.25">
      <c r="A23" s="3" t="s">
        <v>27</v>
      </c>
      <c r="B23" s="7">
        <v>781</v>
      </c>
      <c r="C23" s="7">
        <v>540</v>
      </c>
      <c r="D23" s="7">
        <v>191</v>
      </c>
      <c r="E23" s="7">
        <v>570</v>
      </c>
    </row>
    <row r="24" spans="1:5" x14ac:dyDescent="0.25">
      <c r="A24" s="3" t="s">
        <v>28</v>
      </c>
      <c r="B24" s="7">
        <v>780</v>
      </c>
      <c r="C24" s="7">
        <v>553</v>
      </c>
      <c r="D24" s="7">
        <v>192</v>
      </c>
      <c r="E24" s="7">
        <v>583</v>
      </c>
    </row>
    <row r="25" spans="1:5" x14ac:dyDescent="0.25">
      <c r="A25" s="3" t="s">
        <v>29</v>
      </c>
      <c r="B25" s="7">
        <v>780</v>
      </c>
      <c r="C25" s="7">
        <v>558</v>
      </c>
      <c r="D25" s="7">
        <v>194</v>
      </c>
      <c r="E25" s="7">
        <v>592</v>
      </c>
    </row>
    <row r="26" spans="1:5" x14ac:dyDescent="0.25">
      <c r="A26" s="3" t="s">
        <v>30</v>
      </c>
      <c r="B26" s="7">
        <v>780</v>
      </c>
      <c r="C26" s="7">
        <v>565</v>
      </c>
      <c r="D26" s="7">
        <v>196</v>
      </c>
      <c r="E26" s="7">
        <v>597</v>
      </c>
    </row>
    <row r="27" spans="1:5" x14ac:dyDescent="0.25">
      <c r="A27" s="3" t="s">
        <v>31</v>
      </c>
      <c r="B27" s="7">
        <v>781</v>
      </c>
      <c r="C27" s="7">
        <v>571</v>
      </c>
      <c r="D27" s="7">
        <v>198</v>
      </c>
      <c r="E27" s="7">
        <v>602</v>
      </c>
    </row>
    <row r="28" spans="1:5" x14ac:dyDescent="0.25">
      <c r="A28" s="3" t="s">
        <v>32</v>
      </c>
      <c r="B28" s="7">
        <v>781</v>
      </c>
      <c r="C28" s="7">
        <v>581</v>
      </c>
      <c r="D28" s="7">
        <v>200</v>
      </c>
      <c r="E28" s="7">
        <v>608</v>
      </c>
    </row>
    <row r="29" spans="1:5" x14ac:dyDescent="0.25">
      <c r="A29" s="3" t="s">
        <v>33</v>
      </c>
      <c r="B29" s="7">
        <v>781</v>
      </c>
      <c r="C29" s="7">
        <v>587</v>
      </c>
      <c r="D29" s="7">
        <v>200</v>
      </c>
      <c r="E29" s="7">
        <v>607</v>
      </c>
    </row>
    <row r="30" spans="1:5" x14ac:dyDescent="0.25">
      <c r="A30" s="3" t="s">
        <v>34</v>
      </c>
      <c r="B30" s="7">
        <v>772</v>
      </c>
      <c r="C30" s="7">
        <v>593</v>
      </c>
      <c r="D30" s="7">
        <v>197</v>
      </c>
      <c r="E30" s="7">
        <v>576</v>
      </c>
    </row>
    <row r="31" spans="1:5" x14ac:dyDescent="0.25">
      <c r="A31" s="3" t="s">
        <v>35</v>
      </c>
      <c r="B31" s="7">
        <v>770</v>
      </c>
      <c r="C31" s="7">
        <v>593</v>
      </c>
      <c r="D31" s="7">
        <v>197</v>
      </c>
      <c r="E31" s="7">
        <v>571</v>
      </c>
    </row>
    <row r="32" spans="1:5" x14ac:dyDescent="0.25">
      <c r="A32" s="3" t="s">
        <v>36</v>
      </c>
      <c r="B32" s="19">
        <v>732</v>
      </c>
      <c r="C32" s="19">
        <v>579</v>
      </c>
      <c r="D32" s="19">
        <v>197</v>
      </c>
      <c r="E32" s="19">
        <v>535</v>
      </c>
    </row>
    <row r="33" spans="1:5" x14ac:dyDescent="0.25">
      <c r="A33" s="3" t="s">
        <v>37</v>
      </c>
      <c r="B33" s="19">
        <v>711</v>
      </c>
      <c r="C33" s="19">
        <v>570</v>
      </c>
      <c r="D33" s="19">
        <v>194</v>
      </c>
      <c r="E33" s="19">
        <v>510</v>
      </c>
    </row>
    <row r="34" spans="1:5" x14ac:dyDescent="0.25">
      <c r="A34" s="3" t="s">
        <v>38</v>
      </c>
      <c r="B34" s="19">
        <v>610</v>
      </c>
      <c r="C34" s="19">
        <v>542</v>
      </c>
      <c r="D34" s="19">
        <v>185</v>
      </c>
      <c r="E34" s="19">
        <v>470</v>
      </c>
    </row>
    <row r="35" spans="1:5" x14ac:dyDescent="0.25">
      <c r="A35" s="3" t="s">
        <v>39</v>
      </c>
      <c r="B35" s="19">
        <v>572</v>
      </c>
      <c r="C35" s="19">
        <v>510</v>
      </c>
      <c r="D35" s="19">
        <v>178</v>
      </c>
      <c r="E35" s="19">
        <v>444</v>
      </c>
    </row>
    <row r="36" spans="1:5" x14ac:dyDescent="0.25">
      <c r="A36" s="3" t="s">
        <v>40</v>
      </c>
      <c r="B36" s="19">
        <v>541</v>
      </c>
      <c r="C36" s="19">
        <v>469</v>
      </c>
      <c r="D36" s="19">
        <v>174</v>
      </c>
      <c r="E36" s="19">
        <v>426</v>
      </c>
    </row>
    <row r="37" spans="1:5" x14ac:dyDescent="0.25">
      <c r="A37" s="3" t="s">
        <v>41</v>
      </c>
      <c r="B37" s="19">
        <v>509</v>
      </c>
      <c r="C37" s="19">
        <v>435</v>
      </c>
      <c r="D37" s="19">
        <v>175</v>
      </c>
      <c r="E37" s="19">
        <v>400</v>
      </c>
    </row>
    <row r="38" spans="1:5" x14ac:dyDescent="0.25">
      <c r="A38" s="3" t="s">
        <v>42</v>
      </c>
      <c r="B38" s="12">
        <v>491.10300000000001</v>
      </c>
      <c r="C38" s="12">
        <v>416.73500000000001</v>
      </c>
      <c r="D38" s="12">
        <v>174.88300000000001</v>
      </c>
      <c r="E38" s="12">
        <v>389.00099999999998</v>
      </c>
    </row>
    <row r="39" spans="1:5" x14ac:dyDescent="0.25">
      <c r="A39" s="3" t="s">
        <v>43</v>
      </c>
      <c r="B39" s="12">
        <v>491.70699999999999</v>
      </c>
      <c r="C39" s="12">
        <v>395.56400000000002</v>
      </c>
      <c r="D39" s="12">
        <v>173.90600000000001</v>
      </c>
      <c r="E39" s="12">
        <v>377.38499999999999</v>
      </c>
    </row>
    <row r="40" spans="1:5" x14ac:dyDescent="0.25">
      <c r="A40" s="3" t="s">
        <v>44</v>
      </c>
      <c r="B40" s="12">
        <v>483.83</v>
      </c>
      <c r="C40" s="7">
        <v>382.33800000000002</v>
      </c>
      <c r="D40" s="12">
        <v>173.142</v>
      </c>
      <c r="E40" s="12">
        <v>368</v>
      </c>
    </row>
    <row r="41" spans="1:5" x14ac:dyDescent="0.25">
      <c r="A41" s="3" t="s">
        <v>45</v>
      </c>
      <c r="B41" s="12">
        <v>479.42599999999999</v>
      </c>
      <c r="C41" s="7">
        <v>373.04599999999999</v>
      </c>
      <c r="D41" s="12">
        <v>172.64099999999999</v>
      </c>
      <c r="E41" s="12">
        <v>360.59</v>
      </c>
    </row>
    <row r="42" spans="1:5" x14ac:dyDescent="0.25">
      <c r="A42" s="3" t="s">
        <v>46</v>
      </c>
      <c r="B42" s="12">
        <v>482.17</v>
      </c>
      <c r="C42" s="7">
        <v>373.19299999999998</v>
      </c>
      <c r="D42" s="12">
        <v>173.321</v>
      </c>
      <c r="E42" s="12">
        <v>355.654</v>
      </c>
    </row>
    <row r="43" spans="1:5" x14ac:dyDescent="0.25">
      <c r="A43" s="3" t="s">
        <v>47</v>
      </c>
      <c r="B43" s="12">
        <v>481</v>
      </c>
      <c r="C43" s="7">
        <v>378</v>
      </c>
      <c r="D43" s="12">
        <v>173</v>
      </c>
      <c r="E43" s="12">
        <v>354</v>
      </c>
    </row>
    <row r="44" spans="1:5" x14ac:dyDescent="0.25">
      <c r="A44" s="3" t="s">
        <v>48</v>
      </c>
      <c r="B44" s="12">
        <v>487</v>
      </c>
      <c r="C44" s="7">
        <v>385</v>
      </c>
      <c r="D44" s="12">
        <v>174</v>
      </c>
      <c r="E44" s="12">
        <v>368</v>
      </c>
    </row>
    <row r="45" spans="1:5" x14ac:dyDescent="0.25">
      <c r="A45" s="18">
        <v>2003</v>
      </c>
      <c r="B45" s="12">
        <v>499</v>
      </c>
      <c r="C45" s="7">
        <v>382</v>
      </c>
      <c r="D45" s="12">
        <v>178</v>
      </c>
      <c r="E45" s="12">
        <v>375</v>
      </c>
    </row>
    <row r="46" spans="1:5" x14ac:dyDescent="0.25">
      <c r="A46" s="18">
        <v>2004</v>
      </c>
      <c r="B46" s="21">
        <v>499.5</v>
      </c>
      <c r="C46" s="20">
        <v>373.2</v>
      </c>
      <c r="D46" s="21">
        <v>177.5</v>
      </c>
      <c r="E46" s="21">
        <v>376.6</v>
      </c>
    </row>
    <row r="47" spans="1:5" x14ac:dyDescent="0.25">
      <c r="A47" s="6">
        <v>2005</v>
      </c>
      <c r="B47" s="21">
        <v>492.7</v>
      </c>
      <c r="C47" s="20">
        <v>362.9</v>
      </c>
      <c r="D47" s="21">
        <v>180</v>
      </c>
      <c r="E47" s="21">
        <v>353.6</v>
      </c>
    </row>
    <row r="48" spans="1:5" x14ac:dyDescent="0.25">
      <c r="A48" s="18">
        <v>2006</v>
      </c>
      <c r="B48" s="3">
        <v>505</v>
      </c>
      <c r="C48" s="37">
        <v>350</v>
      </c>
      <c r="D48" s="37">
        <v>180</v>
      </c>
      <c r="E48" s="3">
        <v>349</v>
      </c>
    </row>
    <row r="49" spans="1:5" x14ac:dyDescent="0.25">
      <c r="A49" s="18">
        <v>2007</v>
      </c>
      <c r="B49" s="37">
        <v>522</v>
      </c>
      <c r="C49" s="37">
        <v>338</v>
      </c>
      <c r="D49" s="37">
        <v>186</v>
      </c>
      <c r="E49" s="37">
        <v>333</v>
      </c>
    </row>
    <row r="50" spans="1:5" x14ac:dyDescent="0.25">
      <c r="A50" s="45">
        <v>2008</v>
      </c>
      <c r="B50" s="37">
        <v>544</v>
      </c>
      <c r="C50" s="44">
        <v>332</v>
      </c>
      <c r="D50" s="37">
        <v>199</v>
      </c>
      <c r="E50" s="44">
        <v>327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45FF-B504-6E47-A77B-B3FA144E0DE5}">
  <dimension ref="A1:V5"/>
  <sheetViews>
    <sheetView tabSelected="1" workbookViewId="0">
      <selection activeCell="E4" sqref="E4"/>
    </sheetView>
  </sheetViews>
  <sheetFormatPr baseColWidth="10" defaultRowHeight="17" x14ac:dyDescent="0.25"/>
  <sheetData>
    <row r="1" spans="1:22" x14ac:dyDescent="0.25">
      <c r="A1" s="47" t="s">
        <v>3</v>
      </c>
      <c r="B1" s="50" t="s">
        <v>50</v>
      </c>
      <c r="C1" s="56" t="s">
        <v>1</v>
      </c>
      <c r="D1" s="47"/>
      <c r="E1" s="47"/>
      <c r="F1" s="47"/>
      <c r="G1" s="57"/>
      <c r="H1" s="56" t="s">
        <v>86</v>
      </c>
      <c r="I1" s="47"/>
      <c r="J1" s="47"/>
      <c r="K1" s="47"/>
      <c r="L1" s="47"/>
      <c r="M1" s="56" t="s">
        <v>60</v>
      </c>
      <c r="N1" s="47"/>
      <c r="O1" s="47"/>
      <c r="P1" s="47"/>
      <c r="Q1" s="47"/>
      <c r="R1" s="56" t="s">
        <v>2</v>
      </c>
      <c r="S1" s="47"/>
      <c r="T1" s="47"/>
      <c r="U1" s="47"/>
      <c r="V1" s="47"/>
    </row>
    <row r="2" spans="1:22" x14ac:dyDescent="0.25">
      <c r="A2" s="48"/>
      <c r="B2" s="51"/>
      <c r="C2" s="58"/>
      <c r="D2" s="49"/>
      <c r="E2" s="49"/>
      <c r="F2" s="49"/>
      <c r="G2" s="59"/>
      <c r="H2" s="58"/>
      <c r="I2" s="49"/>
      <c r="J2" s="49"/>
      <c r="K2" s="49"/>
      <c r="L2" s="49"/>
      <c r="M2" s="58"/>
      <c r="N2" s="49"/>
      <c r="O2" s="49"/>
      <c r="P2" s="49"/>
      <c r="Q2" s="49"/>
      <c r="R2" s="58"/>
      <c r="S2" s="49"/>
      <c r="T2" s="49"/>
      <c r="U2" s="49"/>
      <c r="V2" s="49"/>
    </row>
    <row r="3" spans="1:22" x14ac:dyDescent="0.25">
      <c r="A3" s="48"/>
      <c r="B3" s="51"/>
      <c r="C3" s="5"/>
      <c r="D3" s="53" t="s">
        <v>52</v>
      </c>
      <c r="E3" s="54"/>
      <c r="F3" s="53" t="s">
        <v>53</v>
      </c>
      <c r="G3" s="55"/>
      <c r="H3" s="5"/>
      <c r="I3" s="53" t="s">
        <v>52</v>
      </c>
      <c r="J3" s="54"/>
      <c r="K3" s="53" t="s">
        <v>53</v>
      </c>
      <c r="L3" s="55"/>
      <c r="M3" s="5"/>
      <c r="N3" s="53" t="s">
        <v>52</v>
      </c>
      <c r="O3" s="54"/>
      <c r="P3" s="60" t="s">
        <v>53</v>
      </c>
      <c r="Q3" s="60"/>
      <c r="R3" s="5"/>
      <c r="S3" s="53" t="s">
        <v>52</v>
      </c>
      <c r="T3" s="54"/>
      <c r="U3" s="53" t="s">
        <v>53</v>
      </c>
      <c r="V3" s="54"/>
    </row>
    <row r="4" spans="1:22" x14ac:dyDescent="0.25">
      <c r="A4" s="49"/>
      <c r="B4" s="52"/>
      <c r="C4" s="27" t="s">
        <v>50</v>
      </c>
      <c r="D4" s="27" t="s">
        <v>4</v>
      </c>
      <c r="E4" s="28" t="s">
        <v>5</v>
      </c>
      <c r="F4" s="27" t="s">
        <v>4</v>
      </c>
      <c r="G4" s="29" t="s">
        <v>5</v>
      </c>
      <c r="H4" s="27" t="s">
        <v>50</v>
      </c>
      <c r="I4" s="27" t="s">
        <v>4</v>
      </c>
      <c r="J4" s="28" t="s">
        <v>5</v>
      </c>
      <c r="K4" s="27" t="s">
        <v>4</v>
      </c>
      <c r="L4" s="29" t="s">
        <v>5</v>
      </c>
      <c r="M4" s="27" t="s">
        <v>50</v>
      </c>
      <c r="N4" s="27" t="s">
        <v>4</v>
      </c>
      <c r="O4" s="28" t="s">
        <v>5</v>
      </c>
      <c r="P4" s="26" t="s">
        <v>4</v>
      </c>
      <c r="Q4" s="26" t="s">
        <v>5</v>
      </c>
      <c r="R4" s="27" t="s">
        <v>50</v>
      </c>
      <c r="S4" s="27" t="s">
        <v>4</v>
      </c>
      <c r="T4" s="28" t="s">
        <v>5</v>
      </c>
      <c r="U4" s="27" t="s">
        <v>4</v>
      </c>
      <c r="V4" s="28" t="s">
        <v>5</v>
      </c>
    </row>
    <row r="5" spans="1:22" ht="17" customHeight="1" x14ac:dyDescent="0.25">
      <c r="A5" s="30">
        <v>2008</v>
      </c>
      <c r="B5" s="31">
        <v>1402</v>
      </c>
      <c r="C5" s="34">
        <v>544</v>
      </c>
      <c r="D5" s="25">
        <v>74</v>
      </c>
      <c r="E5" s="25">
        <v>392</v>
      </c>
      <c r="F5" s="38">
        <v>13.5</v>
      </c>
      <c r="G5" s="35">
        <v>59.7</v>
      </c>
      <c r="H5" s="25">
        <v>332</v>
      </c>
      <c r="I5" s="32">
        <v>44</v>
      </c>
      <c r="J5" s="33">
        <v>235</v>
      </c>
      <c r="K5" s="25">
        <v>7.7</v>
      </c>
      <c r="L5" s="25">
        <v>41.4</v>
      </c>
      <c r="M5" s="34">
        <v>199</v>
      </c>
      <c r="N5" s="25">
        <v>19</v>
      </c>
      <c r="O5" s="25">
        <v>167</v>
      </c>
      <c r="P5" s="32">
        <v>1.2</v>
      </c>
      <c r="Q5" s="35">
        <v>11.1</v>
      </c>
      <c r="R5" s="25">
        <v>327</v>
      </c>
      <c r="S5" s="32">
        <v>53</v>
      </c>
      <c r="T5" s="33">
        <v>207</v>
      </c>
      <c r="U5" s="25">
        <v>11.9</v>
      </c>
      <c r="V5" s="25">
        <v>51.4</v>
      </c>
    </row>
  </sheetData>
  <mergeCells count="14">
    <mergeCell ref="A1:A4"/>
    <mergeCell ref="B1:B4"/>
    <mergeCell ref="C1:G2"/>
    <mergeCell ref="H1:L2"/>
    <mergeCell ref="M1:Q2"/>
    <mergeCell ref="R1:V2"/>
    <mergeCell ref="D3:E3"/>
    <mergeCell ref="F3:G3"/>
    <mergeCell ref="I3:J3"/>
    <mergeCell ref="K3:L3"/>
    <mergeCell ref="N3:O3"/>
    <mergeCell ref="P3:Q3"/>
    <mergeCell ref="S3:T3"/>
    <mergeCell ref="U3:V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B08C-ADD8-1444-8A35-862C66A2CAAD}">
  <dimension ref="A1:A23"/>
  <sheetViews>
    <sheetView showGridLines="0" zoomScale="75" workbookViewId="0">
      <selection activeCell="F40" sqref="F40"/>
    </sheetView>
  </sheetViews>
  <sheetFormatPr baseColWidth="10" defaultColWidth="8.7109375" defaultRowHeight="17" x14ac:dyDescent="0.25"/>
  <sheetData>
    <row r="1" spans="1:1" x14ac:dyDescent="0.25">
      <c r="A1" s="3" t="s">
        <v>84</v>
      </c>
    </row>
    <row r="2" spans="1:1" x14ac:dyDescent="0.25">
      <c r="A2" s="3"/>
    </row>
    <row r="3" spans="1:1" x14ac:dyDescent="0.25">
      <c r="A3" s="39" t="s">
        <v>77</v>
      </c>
    </row>
    <row r="4" spans="1:1" x14ac:dyDescent="0.25">
      <c r="A4" s="3"/>
    </row>
    <row r="5" spans="1:1" x14ac:dyDescent="0.25">
      <c r="A5" s="3" t="s">
        <v>78</v>
      </c>
    </row>
    <row r="6" spans="1:1" x14ac:dyDescent="0.25">
      <c r="A6" s="1" t="s">
        <v>69</v>
      </c>
    </row>
    <row r="7" spans="1:1" x14ac:dyDescent="0.25">
      <c r="A7" s="3" t="s">
        <v>70</v>
      </c>
    </row>
    <row r="8" spans="1:1" x14ac:dyDescent="0.25">
      <c r="A8" s="3" t="s">
        <v>74</v>
      </c>
    </row>
    <row r="9" spans="1:1" x14ac:dyDescent="0.25">
      <c r="A9" s="3" t="s">
        <v>0</v>
      </c>
    </row>
    <row r="10" spans="1:1" x14ac:dyDescent="0.25">
      <c r="A10" s="3" t="s">
        <v>71</v>
      </c>
    </row>
    <row r="11" spans="1:1" x14ac:dyDescent="0.25">
      <c r="A11" s="3" t="s">
        <v>72</v>
      </c>
    </row>
    <row r="13" spans="1:1" x14ac:dyDescent="0.25">
      <c r="A13" s="22" t="s">
        <v>75</v>
      </c>
    </row>
    <row r="14" spans="1:1" x14ac:dyDescent="0.25">
      <c r="A14" s="3" t="s">
        <v>56</v>
      </c>
    </row>
    <row r="15" spans="1:1" x14ac:dyDescent="0.25">
      <c r="A15" s="3" t="s">
        <v>55</v>
      </c>
    </row>
    <row r="16" spans="1:1" x14ac:dyDescent="0.25">
      <c r="A16" s="3" t="s">
        <v>58</v>
      </c>
    </row>
    <row r="17" spans="1:1" x14ac:dyDescent="0.25">
      <c r="A17" s="3"/>
    </row>
    <row r="18" spans="1:1" x14ac:dyDescent="0.25">
      <c r="A18" s="3" t="s">
        <v>76</v>
      </c>
    </row>
    <row r="19" spans="1:1" x14ac:dyDescent="0.25">
      <c r="A19" s="3" t="s">
        <v>61</v>
      </c>
    </row>
    <row r="20" spans="1:1" x14ac:dyDescent="0.25">
      <c r="A20" s="3" t="s">
        <v>80</v>
      </c>
    </row>
    <row r="21" spans="1:1" x14ac:dyDescent="0.25">
      <c r="A21" s="3"/>
    </row>
    <row r="22" spans="1:1" x14ac:dyDescent="0.25">
      <c r="A22" s="41" t="s">
        <v>81</v>
      </c>
    </row>
    <row r="23" spans="1:1" x14ac:dyDescent="0.25">
      <c r="A23" s="42" t="s">
        <v>82</v>
      </c>
    </row>
  </sheetData>
  <phoneticPr fontId="0" type="noConversion"/>
  <hyperlinks>
    <hyperlink ref="A3" location="Data!A1" display="Back to data." xr:uid="{E67D48A7-FB57-474D-A0FE-D70F2D5E035F}"/>
  </hyperlink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6327A-737A-2840-901B-B7266B5D19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Sheet1</vt:lpstr>
      <vt:lpstr>Sheet2</vt:lpstr>
      <vt:lpstr>Notes</vt:lpstr>
      <vt:lpstr>INTERNET</vt:lpstr>
      <vt:lpstr>Data!Print_Area</vt:lpstr>
      <vt:lpstr>SOURCE</vt:lpstr>
      <vt:lpstr>TITLE</vt:lpstr>
    </vt:vector>
  </TitlesOfParts>
  <Manager>ACSD, SCB</Manager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Department of Defense Personnel</dc:title>
  <dc:creator>US Census Bureau</dc:creator>
  <cp:lastModifiedBy>Tara S.</cp:lastModifiedBy>
  <cp:lastPrinted>2009-10-14T12:43:18Z</cp:lastPrinted>
  <dcterms:created xsi:type="dcterms:W3CDTF">2004-05-06T16:17:19Z</dcterms:created>
  <dcterms:modified xsi:type="dcterms:W3CDTF">2025-10-15T15:57:13Z</dcterms:modified>
</cp:coreProperties>
</file>